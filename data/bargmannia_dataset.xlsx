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iej\Desktop\Science\Papers\pending_Bargmannia\data\"/>
    </mc:Choice>
  </mc:AlternateContent>
  <xr:revisionPtr revIDLastSave="0" documentId="13_ncr:1_{8F4F9F48-DE17-42E0-9D3A-66D28E9749AC}" xr6:coauthVersionLast="47" xr6:coauthVersionMax="47" xr10:uidLastSave="{00000000-0000-0000-0000-000000000000}"/>
  <bookViews>
    <workbookView xWindow="-109" yWindow="-109" windowWidth="26301" windowHeight="14169" xr2:uid="{C0B45FA7-1323-49E2-90C4-58B181483A16}"/>
  </bookViews>
  <sheets>
    <sheet name="examined" sheetId="16" r:id="rId1"/>
    <sheet name="published" sheetId="18" r:id="rId2"/>
  </sheets>
  <definedNames>
    <definedName name="_xlnm._FilterDatabase" localSheetId="0" hidden="1">examined!$A$1:$O$156</definedName>
    <definedName name="_xlnm._FilterDatabase" localSheetId="1" hidden="1">published!$A$1:$I$1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9" i="16" l="1"/>
  <c r="K2" i="16"/>
  <c r="J2" i="16"/>
  <c r="K138" i="16"/>
  <c r="J138" i="16"/>
  <c r="K30" i="16"/>
  <c r="J30" i="16"/>
  <c r="J101" i="16"/>
  <c r="K78" i="16"/>
  <c r="J78" i="16"/>
  <c r="K99" i="16"/>
  <c r="J99" i="16"/>
  <c r="J21" i="16"/>
  <c r="F21" i="18" l="1"/>
  <c r="F20" i="18"/>
  <c r="F19" i="18"/>
  <c r="F17" i="18"/>
  <c r="F3" i="18"/>
  <c r="F2" i="18"/>
  <c r="H16" i="18"/>
  <c r="E19" i="18"/>
  <c r="G16" i="18"/>
  <c r="J70" i="16"/>
  <c r="J69" i="16"/>
</calcChain>
</file>

<file path=xl/sharedStrings.xml><?xml version="1.0" encoding="utf-8"?>
<sst xmlns="http://schemas.openxmlformats.org/spreadsheetml/2006/main" count="671" uniqueCount="403">
  <si>
    <t>D669-SS5</t>
  </si>
  <si>
    <t>D666-SS7</t>
  </si>
  <si>
    <t>D102-SS3</t>
  </si>
  <si>
    <t>D104-SS5</t>
  </si>
  <si>
    <t>D100-SS4</t>
  </si>
  <si>
    <t>D557-SS7</t>
  </si>
  <si>
    <t>D329-SS8</t>
  </si>
  <si>
    <t>T1043-D5</t>
  </si>
  <si>
    <t>T681-D2</t>
  </si>
  <si>
    <t>D199-D5</t>
  </si>
  <si>
    <t>D326-SS11</t>
  </si>
  <si>
    <t>T410-D4</t>
  </si>
  <si>
    <t>Depth</t>
  </si>
  <si>
    <t>YPM No. 102975</t>
  </si>
  <si>
    <t>Bargmannia amoena</t>
  </si>
  <si>
    <t>D1019-MS2</t>
  </si>
  <si>
    <t>D105-D5</t>
  </si>
  <si>
    <t>D1169-D8</t>
  </si>
  <si>
    <t>D611-D6</t>
  </si>
  <si>
    <t>D963-D7</t>
  </si>
  <si>
    <t>JSLI2632-D2</t>
  </si>
  <si>
    <t>JSLI2636-CG12</t>
  </si>
  <si>
    <t>JSLI2644-CG8</t>
  </si>
  <si>
    <t>JSLI2654-CG11</t>
  </si>
  <si>
    <t>JSLI2654-CG8</t>
  </si>
  <si>
    <t>JSLI2660-CG4</t>
  </si>
  <si>
    <t>JSLI2884-CG3</t>
  </si>
  <si>
    <t>JSLII1449-CG7</t>
  </si>
  <si>
    <t>JSLII1451-D3</t>
  </si>
  <si>
    <t>JSLII1452-D4</t>
  </si>
  <si>
    <t>JSLII1676-DS6</t>
  </si>
  <si>
    <t>JSLII1685-CG6</t>
  </si>
  <si>
    <t>JSLII1686-CG6</t>
  </si>
  <si>
    <t>JSLII1686-D7</t>
  </si>
  <si>
    <t>JSLII1688-D8</t>
  </si>
  <si>
    <t>JSLII968-CG4</t>
  </si>
  <si>
    <t>JSLII976-CGP4</t>
  </si>
  <si>
    <t>JSLII976-D2</t>
  </si>
  <si>
    <t>JSLII980-CGS11</t>
  </si>
  <si>
    <t>JSLII980-CGS12</t>
  </si>
  <si>
    <t>JSLII980-D1</t>
  </si>
  <si>
    <t>JSLII983-CGP9</t>
  </si>
  <si>
    <t>JSLII990-CGP3</t>
  </si>
  <si>
    <t>JSLII990-CGP4</t>
  </si>
  <si>
    <t>JSLII992-CGP3</t>
  </si>
  <si>
    <t>JSLII992-CGP4</t>
  </si>
  <si>
    <t>T411-SS2</t>
  </si>
  <si>
    <t>Bargmannia elongata</t>
  </si>
  <si>
    <t>A966-2</t>
  </si>
  <si>
    <t>YPM No. 102976</t>
  </si>
  <si>
    <t>YPM No. 108499</t>
  </si>
  <si>
    <t>D1168-SS7</t>
  </si>
  <si>
    <t>D1442-D9</t>
  </si>
  <si>
    <t>D153-SS7</t>
  </si>
  <si>
    <t>D153-SS8</t>
  </si>
  <si>
    <t>D198-SS9</t>
  </si>
  <si>
    <t>D199-SS4</t>
  </si>
  <si>
    <t>D325-SS9</t>
  </si>
  <si>
    <t>D328-SS12</t>
  </si>
  <si>
    <t>D330-SS9</t>
  </si>
  <si>
    <t>D493-D11</t>
  </si>
  <si>
    <t>D494-SS9</t>
  </si>
  <si>
    <t>D495-D1</t>
  </si>
  <si>
    <t>D497-D11</t>
  </si>
  <si>
    <t>D553-D5</t>
  </si>
  <si>
    <t>D554-D4</t>
  </si>
  <si>
    <t>D554-SS3</t>
  </si>
  <si>
    <t>D554-SS4</t>
  </si>
  <si>
    <t>D611-SS10</t>
  </si>
  <si>
    <t>D613-SS11</t>
  </si>
  <si>
    <t>D616-SS10</t>
  </si>
  <si>
    <t>D666-SS8</t>
  </si>
  <si>
    <t>YPM No. 107002</t>
  </si>
  <si>
    <t>D667-SS8</t>
  </si>
  <si>
    <t>D960-SS3</t>
  </si>
  <si>
    <t>JSLI2673-DS6</t>
  </si>
  <si>
    <t>T409-SS1</t>
  </si>
  <si>
    <t>T410-D3</t>
  </si>
  <si>
    <t>T411-D3</t>
  </si>
  <si>
    <t>T676-SS3</t>
  </si>
  <si>
    <t>T676-SS9</t>
  </si>
  <si>
    <t>T745-SS10</t>
  </si>
  <si>
    <t>V3558-SS12</t>
  </si>
  <si>
    <t>V3558-SS2</t>
  </si>
  <si>
    <t>Bargmannia lata</t>
  </si>
  <si>
    <t>YPM No. 108495</t>
  </si>
  <si>
    <t>D1163-D4</t>
  </si>
  <si>
    <t>D195-D2</t>
  </si>
  <si>
    <t>D552-D5</t>
  </si>
  <si>
    <t>D555-SS1</t>
  </si>
  <si>
    <t>D959-D9</t>
  </si>
  <si>
    <t>YPM No. 108434</t>
  </si>
  <si>
    <t>D1240-D9</t>
  </si>
  <si>
    <t>YPM No. 108442</t>
  </si>
  <si>
    <t>D1242-D6</t>
  </si>
  <si>
    <t>T674-SS1</t>
  </si>
  <si>
    <t>T743-D3</t>
  </si>
  <si>
    <t>T745-D4</t>
  </si>
  <si>
    <t>Bargmannia profunda</t>
  </si>
  <si>
    <t>Bargmannia sp.</t>
  </si>
  <si>
    <t>D1138-SS9</t>
  </si>
  <si>
    <t>YPM No. 108497</t>
  </si>
  <si>
    <t>D1165-SS12</t>
  </si>
  <si>
    <t>D1167-D12</t>
  </si>
  <si>
    <t>D856-SS5</t>
  </si>
  <si>
    <t>D1398-D1</t>
  </si>
  <si>
    <t>D1399-SS1</t>
  </si>
  <si>
    <t>D613-D10</t>
  </si>
  <si>
    <t>Catalog #</t>
  </si>
  <si>
    <t>Taxon</t>
  </si>
  <si>
    <t>SampleID</t>
  </si>
  <si>
    <t>Date</t>
  </si>
  <si>
    <t>D722-D10</t>
  </si>
  <si>
    <t>D195-D1</t>
  </si>
  <si>
    <t>D666-D10</t>
  </si>
  <si>
    <t>D725-D8</t>
  </si>
  <si>
    <t>D499-D1</t>
  </si>
  <si>
    <t>D666-D2</t>
  </si>
  <si>
    <t>D961-D3</t>
  </si>
  <si>
    <t>D960-D4</t>
  </si>
  <si>
    <t>T1110-D3</t>
  </si>
  <si>
    <t>D337-SS7</t>
  </si>
  <si>
    <t>JSLI 2672-DS1</t>
  </si>
  <si>
    <t>D557-D6</t>
  </si>
  <si>
    <t>D1024-D7</t>
  </si>
  <si>
    <t>D1020-SS8</t>
  </si>
  <si>
    <t>D723-D11</t>
  </si>
  <si>
    <t>Bargmannia gigas</t>
  </si>
  <si>
    <t>Discovery 8560#2</t>
  </si>
  <si>
    <t>D785-D5</t>
  </si>
  <si>
    <t>D341-D9</t>
  </si>
  <si>
    <t>T750-SS2</t>
  </si>
  <si>
    <t>M120-SS3</t>
  </si>
  <si>
    <t>Temperature</t>
  </si>
  <si>
    <t>Oxygen</t>
  </si>
  <si>
    <t>Salinity</t>
  </si>
  <si>
    <t>Transmiss</t>
  </si>
  <si>
    <t>Latitude</t>
  </si>
  <si>
    <t>Longitude</t>
  </si>
  <si>
    <t>T594-D2</t>
  </si>
  <si>
    <t>T598-SS1</t>
  </si>
  <si>
    <t>D26-D3</t>
  </si>
  <si>
    <t>D107-SS2</t>
  </si>
  <si>
    <t>D497-D5</t>
  </si>
  <si>
    <t>D612-SS8</t>
  </si>
  <si>
    <t>D663-SS6</t>
  </si>
  <si>
    <t>Bargmannia stenotes</t>
  </si>
  <si>
    <t>D670-D1</t>
  </si>
  <si>
    <t>D727-D9</t>
  </si>
  <si>
    <t>D856-D3</t>
  </si>
  <si>
    <t>D857-D8</t>
  </si>
  <si>
    <t>D1021-D11</t>
  </si>
  <si>
    <t>D1164-SS7</t>
  </si>
  <si>
    <t>D1449-D2</t>
  </si>
  <si>
    <t>Source</t>
  </si>
  <si>
    <t>Pugh1999b</t>
  </si>
  <si>
    <t>BMNH 1952.11.19.7</t>
  </si>
  <si>
    <t>0-370</t>
  </si>
  <si>
    <t>BMNH 1952.1 1.19.8-25</t>
  </si>
  <si>
    <t>1500-1000</t>
  </si>
  <si>
    <t>850-950</t>
  </si>
  <si>
    <t>BMNH 1998.2163</t>
  </si>
  <si>
    <t>BMNH 1998.2164</t>
  </si>
  <si>
    <t>BMNH 1998.2165</t>
  </si>
  <si>
    <t>BCPM 996-203-205</t>
  </si>
  <si>
    <t>BCPM 996-206-1</t>
  </si>
  <si>
    <t>BCPM 996-207-1</t>
  </si>
  <si>
    <t>NHM 1996.1234-1238</t>
  </si>
  <si>
    <t>NHM 1996.1239</t>
  </si>
  <si>
    <t>NHM 1996.1240</t>
  </si>
  <si>
    <t xml:space="preserve">NHM 1998.1788-1798 </t>
  </si>
  <si>
    <t>700-0</t>
  </si>
  <si>
    <t>500-0</t>
  </si>
  <si>
    <t>Mapstone1998</t>
  </si>
  <si>
    <t>Alvin 966-1</t>
  </si>
  <si>
    <t>1000-750</t>
  </si>
  <si>
    <t>NHML 1957.5.15.110</t>
  </si>
  <si>
    <t>8565#1</t>
  </si>
  <si>
    <t>6662#37</t>
  </si>
  <si>
    <t>6662#32</t>
  </si>
  <si>
    <t>6662#30</t>
  </si>
  <si>
    <t>6662#15</t>
  </si>
  <si>
    <t>6662#20</t>
  </si>
  <si>
    <t>6662#22</t>
  </si>
  <si>
    <t>6662#16</t>
  </si>
  <si>
    <t>7824#39</t>
  </si>
  <si>
    <t>6662#10</t>
  </si>
  <si>
    <t>6662#7</t>
  </si>
  <si>
    <t>6662#8</t>
  </si>
  <si>
    <t>7831#1</t>
  </si>
  <si>
    <t>7803#2</t>
  </si>
  <si>
    <t>11261#16</t>
  </si>
  <si>
    <t>8281#29</t>
  </si>
  <si>
    <t>11794#36</t>
  </si>
  <si>
    <t>11794#83</t>
  </si>
  <si>
    <t>11794#31</t>
  </si>
  <si>
    <t>12096#2</t>
  </si>
  <si>
    <t>1210-1450</t>
  </si>
  <si>
    <t>730-795</t>
  </si>
  <si>
    <t>600-695</t>
  </si>
  <si>
    <t>810-900</t>
  </si>
  <si>
    <t>610-680</t>
  </si>
  <si>
    <t>810-890</t>
  </si>
  <si>
    <t>895-1000</t>
  </si>
  <si>
    <t>910-985</t>
  </si>
  <si>
    <t>715-800</t>
  </si>
  <si>
    <t>10-1000</t>
  </si>
  <si>
    <t>1015-1250</t>
  </si>
  <si>
    <t>1000-1100</t>
  </si>
  <si>
    <t>1259-1500</t>
  </si>
  <si>
    <t>1200-1300</t>
  </si>
  <si>
    <t>1300-1395</t>
  </si>
  <si>
    <t>2500-2750</t>
  </si>
  <si>
    <t>1100-1200</t>
  </si>
  <si>
    <t>0-1022</t>
  </si>
  <si>
    <t>BMNH 1949.11.10.378</t>
  </si>
  <si>
    <t>BMNH 1957.5.15.111</t>
  </si>
  <si>
    <t>1900-1500</t>
  </si>
  <si>
    <t>St. 681</t>
  </si>
  <si>
    <t>St. 107</t>
  </si>
  <si>
    <t>Depth_range</t>
  </si>
  <si>
    <t>JSLII963-DS6</t>
  </si>
  <si>
    <t>JSLII972-DS2</t>
  </si>
  <si>
    <t>JSLII973-DS5</t>
  </si>
  <si>
    <t>JSLII975-DS6</t>
  </si>
  <si>
    <t>JSLII985-DS4</t>
  </si>
  <si>
    <t>JSLII992-DS3</t>
  </si>
  <si>
    <t>JSLII992-DS5</t>
  </si>
  <si>
    <t>JSLII995-DS3</t>
  </si>
  <si>
    <t>JSLII998-DS8</t>
  </si>
  <si>
    <t>JSLII1006-DS1</t>
  </si>
  <si>
    <t>JSLII1007-DS4</t>
  </si>
  <si>
    <t>JSLII1676-DS2</t>
  </si>
  <si>
    <t>JSLII1678-DS2</t>
  </si>
  <si>
    <t>JSLII1684-DS3</t>
  </si>
  <si>
    <t>JSLII1687-DS3</t>
  </si>
  <si>
    <t>JSLI2652-DS4</t>
  </si>
  <si>
    <t>JSLI2653-DS2</t>
  </si>
  <si>
    <t>JSLI2655-DS3</t>
  </si>
  <si>
    <t>JSLI2656-DS7</t>
  </si>
  <si>
    <t>JSLI2657-DS8</t>
  </si>
  <si>
    <t>JSLI2658-DS6</t>
  </si>
  <si>
    <t>T750-D3</t>
  </si>
  <si>
    <t>Sequenced</t>
  </si>
  <si>
    <t>YES</t>
  </si>
  <si>
    <t>Bargmannia marlena</t>
  </si>
  <si>
    <t>Bargmannia pyrosa</t>
  </si>
  <si>
    <t>Year</t>
  </si>
  <si>
    <t>YPM No. 106664</t>
  </si>
  <si>
    <t>T674-D5</t>
  </si>
  <si>
    <t>JSLI2658-CG9</t>
  </si>
  <si>
    <t>USNM 1679396</t>
  </si>
  <si>
    <t>USNM 1679397</t>
  </si>
  <si>
    <t xml:space="preserve">NHM 1998.2164 </t>
  </si>
  <si>
    <t xml:space="preserve">NHM 1998.2165 </t>
  </si>
  <si>
    <t>JSLII1458</t>
  </si>
  <si>
    <t>JSLI2636</t>
  </si>
  <si>
    <t>Holotype</t>
  </si>
  <si>
    <t>Paratype</t>
  </si>
  <si>
    <t>YPM No. 112210</t>
  </si>
  <si>
    <t>YPM No. 112211</t>
  </si>
  <si>
    <t>YPM No. 112093</t>
  </si>
  <si>
    <t>YPM No. 112135</t>
  </si>
  <si>
    <t>YPM No. 112132</t>
  </si>
  <si>
    <t>YPM No. 112121</t>
  </si>
  <si>
    <t>YPM No. 112106</t>
  </si>
  <si>
    <t>YPM No. 112140</t>
  </si>
  <si>
    <t>YPM No. 112062</t>
  </si>
  <si>
    <t>YPM No. 112102</t>
  </si>
  <si>
    <t>YPM No. 112097</t>
  </si>
  <si>
    <t>YPM No. 106618</t>
  </si>
  <si>
    <t>YPM No. 112098</t>
  </si>
  <si>
    <t>YPM No. 112099</t>
  </si>
  <si>
    <t>YPM No. 112127</t>
  </si>
  <si>
    <t>YPM No. 112100</t>
  </si>
  <si>
    <t>YPM No. 112128</t>
  </si>
  <si>
    <t>YPM No. 112119</t>
  </si>
  <si>
    <t>YPM No. 112130</t>
  </si>
  <si>
    <t>YPM No. 112116</t>
  </si>
  <si>
    <t>YPM No. 112113</t>
  </si>
  <si>
    <t>YPM No. 112124</t>
  </si>
  <si>
    <t>YPM No. 112143</t>
  </si>
  <si>
    <t>YPM No. 112166</t>
  </si>
  <si>
    <t>YPM No. 112162</t>
  </si>
  <si>
    <t>YPM No. 112156</t>
  </si>
  <si>
    <t>YPM No. 112155</t>
  </si>
  <si>
    <t>YPM No. 112144</t>
  </si>
  <si>
    <t>YPM No. 112152</t>
  </si>
  <si>
    <t>YPM No. 112160</t>
  </si>
  <si>
    <t>YPM No. 112163</t>
  </si>
  <si>
    <t>YPM No. 106656</t>
  </si>
  <si>
    <t>YPM No. 112161</t>
  </si>
  <si>
    <t>YPM No. 112165</t>
  </si>
  <si>
    <t>YPM No. 112147</t>
  </si>
  <si>
    <t>YPM No. 112148</t>
  </si>
  <si>
    <t>YPM No. 112182</t>
  </si>
  <si>
    <t>YPM No. 106637</t>
  </si>
  <si>
    <t>YPM No. 112159</t>
  </si>
  <si>
    <t>YPM No. 112146</t>
  </si>
  <si>
    <t>YPM No. 112158</t>
  </si>
  <si>
    <t>YPM No. 112153</t>
  </si>
  <si>
    <t>YPM No. 106770</t>
  </si>
  <si>
    <t>YPM No. 112164</t>
  </si>
  <si>
    <t>YPM No. 112170</t>
  </si>
  <si>
    <t>YPM No. 112171</t>
  </si>
  <si>
    <t>YPM No. 107003</t>
  </si>
  <si>
    <t>YPM No. 112157</t>
  </si>
  <si>
    <t>YPM No. 111943</t>
  </si>
  <si>
    <t>YPM No. 112169</t>
  </si>
  <si>
    <t>YPM No. 111936</t>
  </si>
  <si>
    <t>YPM No. 112168</t>
  </si>
  <si>
    <t>YPM No. 112145</t>
  </si>
  <si>
    <t>YPM No. 106675</t>
  </si>
  <si>
    <t>YPM No. 112172</t>
  </si>
  <si>
    <t>YPM No. 112217</t>
  </si>
  <si>
    <t>YPM No. 107010</t>
  </si>
  <si>
    <t>YPM No. 112177</t>
  </si>
  <si>
    <t>YPM No. 112179</t>
  </si>
  <si>
    <t>YPM No. 112194</t>
  </si>
  <si>
    <t>YPM No. 112192</t>
  </si>
  <si>
    <t>YPM No. 106577</t>
  </si>
  <si>
    <t>YPM No. 112186</t>
  </si>
  <si>
    <t>YPM No. 112175</t>
  </si>
  <si>
    <t>YPM No. 112193</t>
  </si>
  <si>
    <t>YPM No. 112173</t>
  </si>
  <si>
    <t>YPM No. 112189</t>
  </si>
  <si>
    <t>YPM No. 112190</t>
  </si>
  <si>
    <t>YPM No. 112198</t>
  </si>
  <si>
    <t>YPM No. 112195</t>
  </si>
  <si>
    <t>YPM No. 112197</t>
  </si>
  <si>
    <t>YPM No. 102962</t>
  </si>
  <si>
    <t>YPM No. 112188</t>
  </si>
  <si>
    <t>YPM No. 112187</t>
  </si>
  <si>
    <t>YPM No. 112196</t>
  </si>
  <si>
    <t>YPM No. 110226</t>
  </si>
  <si>
    <t>YPM No. 112176</t>
  </si>
  <si>
    <t>YPM No. 112078</t>
  </si>
  <si>
    <t>YPM No. 112184</t>
  </si>
  <si>
    <t>YPM No. 112076</t>
  </si>
  <si>
    <t>YPM No. 112205</t>
  </si>
  <si>
    <t>YPM No. 112201</t>
  </si>
  <si>
    <t>YPM No. 112202</t>
  </si>
  <si>
    <t>YPM No. 112203</t>
  </si>
  <si>
    <t>YPM No. 112204</t>
  </si>
  <si>
    <t>YPM No. 102963</t>
  </si>
  <si>
    <t>YPM No. 112200</t>
  </si>
  <si>
    <t>YPM No. 112081</t>
  </si>
  <si>
    <t>YPM No. 112082</t>
  </si>
  <si>
    <t>YPM No. 112083</t>
  </si>
  <si>
    <t>YPM No. 112079</t>
  </si>
  <si>
    <t>YPM No. 112080</t>
  </si>
  <si>
    <t>YPM No. 112087</t>
  </si>
  <si>
    <t>YPM No. 112088</t>
  </si>
  <si>
    <t>YPM No. 112084</t>
  </si>
  <si>
    <t>YPM No. 112089</t>
  </si>
  <si>
    <t>YPM No. 112090</t>
  </si>
  <si>
    <t>YPM No. 112091</t>
  </si>
  <si>
    <t>YPM No. 112092</t>
  </si>
  <si>
    <t>YPM No. 112094</t>
  </si>
  <si>
    <t>YPM No. 112085</t>
  </si>
  <si>
    <t>YPM No. 112086</t>
  </si>
  <si>
    <t>YPM No. 112183</t>
  </si>
  <si>
    <t>YPM No. 110306</t>
  </si>
  <si>
    <t>YPM No. 112209</t>
  </si>
  <si>
    <t>YPM No. 112208</t>
  </si>
  <si>
    <t>YPM No. 112167</t>
  </si>
  <si>
    <t>YPM No. 112077</t>
  </si>
  <si>
    <t>YPM No. 112181</t>
  </si>
  <si>
    <t>YPM No. 112118</t>
  </si>
  <si>
    <t>YPM No. 112136</t>
  </si>
  <si>
    <t>YPM No. 112131</t>
  </si>
  <si>
    <t>YPM No. 106752</t>
  </si>
  <si>
    <t>YPM No. 112105</t>
  </si>
  <si>
    <t>YPM No. 112114</t>
  </si>
  <si>
    <t>YPM No. 112115</t>
  </si>
  <si>
    <t>YPM No. 112112</t>
  </si>
  <si>
    <t>YPM No. 112125</t>
  </si>
  <si>
    <t>YPM No. 112103</t>
  </si>
  <si>
    <t>YPM No. 112142</t>
  </si>
  <si>
    <t>YPM No. 112110</t>
  </si>
  <si>
    <t>YPM No. 112111</t>
  </si>
  <si>
    <t>YPM No. 112141</t>
  </si>
  <si>
    <t>YPM No. 112109</t>
  </si>
  <si>
    <t>YPM No. 112137</t>
  </si>
  <si>
    <t>YPM No. 112138</t>
  </si>
  <si>
    <t>YPM No. 112139</t>
  </si>
  <si>
    <t>YPM No. 112133</t>
  </si>
  <si>
    <t>YPM No. 112108</t>
  </si>
  <si>
    <t>YPM No. 112120</t>
  </si>
  <si>
    <t>YPM No. 106627</t>
  </si>
  <si>
    <t>YPM No. 112107</t>
  </si>
  <si>
    <t>YPM No. 112095</t>
  </si>
  <si>
    <t>YPM No. 112096</t>
  </si>
  <si>
    <t>YPM No. 112185</t>
  </si>
  <si>
    <t>YPM No. 112129</t>
  </si>
  <si>
    <t>MKM personal collection</t>
  </si>
  <si>
    <t>YPM No. 112199</t>
  </si>
  <si>
    <t>to be accessioned at NHM</t>
  </si>
  <si>
    <t>no catalog number</t>
  </si>
  <si>
    <t>YPM No. 112212</t>
  </si>
  <si>
    <t>Tentillum_analysis</t>
  </si>
  <si>
    <t>Type_status</t>
  </si>
  <si>
    <t>Nectophore_morphospace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</si>
</sst>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9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sz val="10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color theme="1"/>
      <name val="Aptos"/>
      <family val="2"/>
    </font>
    <font>
      <sz val="12"/>
      <color theme="1"/>
      <name val="Times New Roman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right"/>
    </xf>
    <xf numFmtId="0" fontId="6" fillId="0" borderId="0" xfId="0" applyFont="1" applyAlignment="1">
      <alignment vertical="center"/>
    </xf>
    <xf numFmtId="14" fontId="2" fillId="0" borderId="0" xfId="0" applyNumberFormat="1" applyFont="1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3" fillId="0" borderId="0" xfId="0" applyNumberFormat="1" applyFont="1"/>
    <xf numFmtId="166" fontId="3" fillId="0" borderId="0" xfId="0" applyNumberFormat="1" applyFont="1"/>
    <xf numFmtId="166" fontId="4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1" fontId="2" fillId="0" borderId="0" xfId="0" applyNumberFormat="1" applyFont="1" applyAlignment="1">
      <alignment wrapText="1"/>
    </xf>
    <xf numFmtId="1" fontId="0" fillId="0" borderId="0" xfId="0" applyNumberFormat="1"/>
    <xf numFmtId="0" fontId="8" fillId="0" borderId="0" xfId="0" applyFont="1"/>
    <xf numFmtId="0" fontId="4" fillId="0" borderId="0" xfId="0" applyFont="1"/>
    <xf numFmtId="166" fontId="0" fillId="0" borderId="0" xfId="0" applyNumberFormat="1" applyAlignment="1">
      <alignment horizontal="right"/>
    </xf>
  </cellXfs>
  <cellStyles count="2">
    <cellStyle name="Normal 2" xfId="1" xr:uid="{142A5F13-C814-42EF-937E-FDF6E52FA57F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2B41-E905-4D47-B425-1FD411898A09}">
  <dimension ref="A1:Q156"/>
  <sheetViews>
    <sheetView tabSelected="1" zoomScale="96" zoomScaleNormal="55" workbookViewId="0">
      <pane xSplit="3" ySplit="1" topLeftCell="D17" activePane="bottomRight" state="frozen"/>
      <selection pane="topRight" activeCell="E1" sqref="E1"/>
      <selection pane="bottomLeft" activeCell="A2" sqref="A2"/>
      <selection pane="bottomRight" activeCell="G27" sqref="G27"/>
    </sheetView>
  </sheetViews>
  <sheetFormatPr defaultRowHeight="14.3" x14ac:dyDescent="0.25"/>
  <cols>
    <col min="1" max="1" width="22.25" bestFit="1" customWidth="1"/>
    <col min="2" max="2" width="19.375" bestFit="1" customWidth="1"/>
    <col min="3" max="3" width="15.25" bestFit="1" customWidth="1"/>
    <col min="4" max="4" width="10.75" style="3" bestFit="1" customWidth="1"/>
    <col min="5" max="5" width="13.375" bestFit="1" customWidth="1"/>
    <col min="6" max="6" width="15.375" bestFit="1" customWidth="1"/>
    <col min="7" max="7" width="11.875" bestFit="1" customWidth="1"/>
    <col min="8" max="9" width="12.875" bestFit="1" customWidth="1"/>
    <col min="10" max="10" width="11.625" style="10" bestFit="1" customWidth="1"/>
    <col min="11" max="11" width="13.125" style="10" bestFit="1" customWidth="1"/>
    <col min="12" max="12" width="13.875" style="10" bestFit="1" customWidth="1"/>
    <col min="13" max="13" width="19.75" bestFit="1" customWidth="1"/>
    <col min="14" max="14" width="13" bestFit="1" customWidth="1"/>
    <col min="15" max="15" width="27.5" bestFit="1" customWidth="1"/>
  </cols>
  <sheetData>
    <row r="1" spans="1:17" x14ac:dyDescent="0.25">
      <c r="A1" s="2" t="s">
        <v>108</v>
      </c>
      <c r="B1" s="2" t="s">
        <v>109</v>
      </c>
      <c r="C1" s="2" t="s">
        <v>110</v>
      </c>
      <c r="D1" s="9" t="s">
        <v>111</v>
      </c>
      <c r="E1" s="1" t="s">
        <v>12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401</v>
      </c>
      <c r="M1" s="1" t="s">
        <v>400</v>
      </c>
      <c r="N1" s="1" t="s">
        <v>243</v>
      </c>
      <c r="O1" s="1" t="s">
        <v>402</v>
      </c>
    </row>
    <row r="2" spans="1:17" s="1" customFormat="1" x14ac:dyDescent="0.25">
      <c r="A2" s="5" t="s">
        <v>303</v>
      </c>
      <c r="B2" t="s">
        <v>84</v>
      </c>
      <c r="C2" t="s">
        <v>48</v>
      </c>
      <c r="D2" s="3">
        <v>29100</v>
      </c>
      <c r="E2" s="12"/>
      <c r="F2" s="12"/>
      <c r="G2" s="12"/>
      <c r="H2" s="12"/>
      <c r="I2" s="12"/>
      <c r="J2" s="10">
        <f>33+4/60</f>
        <v>33.06666666666667</v>
      </c>
      <c r="K2" s="10">
        <f>-118+16/60</f>
        <v>-117.73333333333333</v>
      </c>
      <c r="L2" s="10"/>
      <c r="M2"/>
      <c r="N2"/>
      <c r="O2"/>
      <c r="P2"/>
      <c r="Q2"/>
    </row>
    <row r="3" spans="1:17" x14ac:dyDescent="0.25">
      <c r="A3" s="5" t="s">
        <v>399</v>
      </c>
      <c r="B3" t="s">
        <v>146</v>
      </c>
      <c r="C3" t="s">
        <v>113</v>
      </c>
      <c r="D3" s="3">
        <v>40458</v>
      </c>
      <c r="E3">
        <v>1491.979126</v>
      </c>
      <c r="F3" s="12">
        <v>2.8389999869999998</v>
      </c>
      <c r="G3" s="12">
        <v>0.97399997699999996</v>
      </c>
      <c r="H3" s="12">
        <v>34.533000950000002</v>
      </c>
      <c r="I3" s="12">
        <v>87.36000061</v>
      </c>
      <c r="J3" s="10">
        <v>36.599224999999997</v>
      </c>
      <c r="K3" s="10">
        <v>-122.14877799999999</v>
      </c>
    </row>
    <row r="4" spans="1:17" x14ac:dyDescent="0.25">
      <c r="A4" t="s">
        <v>13</v>
      </c>
      <c r="B4" t="s">
        <v>246</v>
      </c>
      <c r="C4" t="s">
        <v>15</v>
      </c>
      <c r="D4" s="3">
        <v>43222</v>
      </c>
      <c r="E4" s="12">
        <v>1858.791138</v>
      </c>
      <c r="F4" s="12">
        <v>2.1760001180000001</v>
      </c>
      <c r="G4" s="12">
        <v>1.463999987</v>
      </c>
      <c r="H4" s="12">
        <v>34.598999020000001</v>
      </c>
      <c r="I4" s="12"/>
      <c r="J4" s="10">
        <v>35.516508999999999</v>
      </c>
      <c r="K4" s="10">
        <v>-122.650273</v>
      </c>
    </row>
    <row r="5" spans="1:17" x14ac:dyDescent="0.25">
      <c r="A5" t="s">
        <v>49</v>
      </c>
      <c r="B5" t="s">
        <v>47</v>
      </c>
      <c r="C5" t="s">
        <v>151</v>
      </c>
      <c r="D5" s="3">
        <v>43224</v>
      </c>
      <c r="E5" s="12">
        <v>886.91320800000005</v>
      </c>
      <c r="F5" s="12">
        <v>4.1199998860000004</v>
      </c>
      <c r="G5" s="12">
        <v>0.28499999599999998</v>
      </c>
      <c r="H5" s="12">
        <v>34.424999239999998</v>
      </c>
      <c r="I5" s="12"/>
      <c r="J5" s="10">
        <v>35.499088</v>
      </c>
      <c r="K5" s="10">
        <v>-123.999985</v>
      </c>
    </row>
    <row r="6" spans="1:17" x14ac:dyDescent="0.25">
      <c r="A6" s="5" t="s">
        <v>365</v>
      </c>
      <c r="B6" t="s">
        <v>47</v>
      </c>
      <c r="C6" t="s">
        <v>142</v>
      </c>
      <c r="D6" s="3">
        <v>38335</v>
      </c>
      <c r="E6" s="12">
        <v>541.15893549999998</v>
      </c>
      <c r="F6" s="12">
        <v>5.9079999919999997</v>
      </c>
      <c r="G6" s="12">
        <v>0.42199999100000002</v>
      </c>
      <c r="H6" s="12">
        <v>34.159999849999998</v>
      </c>
      <c r="I6" s="12">
        <v>89.319999690000003</v>
      </c>
      <c r="J6" s="10">
        <v>36.599674</v>
      </c>
      <c r="K6" s="10">
        <v>-122.14937</v>
      </c>
    </row>
    <row r="7" spans="1:17" x14ac:dyDescent="0.25">
      <c r="A7" t="s">
        <v>262</v>
      </c>
      <c r="B7" t="s">
        <v>14</v>
      </c>
      <c r="C7" t="s">
        <v>36</v>
      </c>
      <c r="D7" s="3">
        <v>30977</v>
      </c>
      <c r="E7" s="12">
        <v>568</v>
      </c>
      <c r="F7" s="12"/>
      <c r="G7" s="12"/>
      <c r="H7" s="12"/>
      <c r="I7" s="12"/>
      <c r="J7" s="10">
        <v>26.035555555555558</v>
      </c>
      <c r="K7" s="10">
        <v>-77.501388888888883</v>
      </c>
    </row>
    <row r="8" spans="1:17" x14ac:dyDescent="0.25">
      <c r="A8" t="s">
        <v>263</v>
      </c>
      <c r="B8" t="s">
        <v>14</v>
      </c>
      <c r="C8" t="s">
        <v>37</v>
      </c>
      <c r="D8" s="3">
        <v>30977</v>
      </c>
      <c r="E8" s="12">
        <v>556</v>
      </c>
      <c r="F8" s="12"/>
      <c r="G8" s="12"/>
      <c r="H8" s="12"/>
      <c r="I8" s="12"/>
      <c r="J8" s="10">
        <v>26.035555555555558</v>
      </c>
      <c r="K8" s="10">
        <v>-77.501388888888883</v>
      </c>
    </row>
    <row r="9" spans="1:17" x14ac:dyDescent="0.25">
      <c r="A9" t="s">
        <v>264</v>
      </c>
      <c r="B9" t="s">
        <v>14</v>
      </c>
      <c r="C9" t="s">
        <v>38</v>
      </c>
      <c r="D9" s="3">
        <v>30979</v>
      </c>
      <c r="E9" s="12">
        <v>608</v>
      </c>
      <c r="F9" s="12"/>
      <c r="G9" s="12"/>
      <c r="H9" s="12"/>
      <c r="I9" s="12"/>
      <c r="J9" s="10">
        <v>25.968888888888888</v>
      </c>
      <c r="K9" s="10">
        <v>-77.401666666666671</v>
      </c>
    </row>
    <row r="10" spans="1:17" x14ac:dyDescent="0.25">
      <c r="A10" t="s">
        <v>265</v>
      </c>
      <c r="B10" t="s">
        <v>14</v>
      </c>
      <c r="C10" t="s">
        <v>39</v>
      </c>
      <c r="D10" s="3">
        <v>30979</v>
      </c>
      <c r="E10" s="12">
        <v>604</v>
      </c>
      <c r="F10" s="12"/>
      <c r="G10" s="12"/>
      <c r="H10" s="12"/>
      <c r="I10" s="12"/>
      <c r="J10" s="10">
        <v>25.968888888888888</v>
      </c>
      <c r="K10" s="10">
        <v>-77.401666666666671</v>
      </c>
    </row>
    <row r="11" spans="1:17" x14ac:dyDescent="0.25">
      <c r="A11" t="s">
        <v>266</v>
      </c>
      <c r="B11" t="s">
        <v>14</v>
      </c>
      <c r="C11" t="s">
        <v>40</v>
      </c>
      <c r="D11" s="3">
        <v>30979</v>
      </c>
      <c r="E11" s="12">
        <v>604</v>
      </c>
      <c r="F11" s="12"/>
      <c r="G11" s="12"/>
      <c r="H11" s="12"/>
      <c r="I11" s="12"/>
      <c r="J11" s="10">
        <v>25.968888888888888</v>
      </c>
      <c r="K11" s="10">
        <v>-77.401666666666671</v>
      </c>
    </row>
    <row r="12" spans="1:17" x14ac:dyDescent="0.25">
      <c r="A12" t="s">
        <v>267</v>
      </c>
      <c r="B12" t="s">
        <v>14</v>
      </c>
      <c r="C12" t="s">
        <v>41</v>
      </c>
      <c r="D12" s="3">
        <v>30981</v>
      </c>
      <c r="E12" s="12">
        <v>573</v>
      </c>
      <c r="F12" s="12"/>
      <c r="G12" s="12"/>
      <c r="H12" s="12"/>
      <c r="I12" s="12"/>
      <c r="J12" s="10">
        <v>25.102222222222224</v>
      </c>
      <c r="K12" s="10">
        <v>-77.383611111111122</v>
      </c>
    </row>
    <row r="13" spans="1:17" x14ac:dyDescent="0.25">
      <c r="A13" t="s">
        <v>366</v>
      </c>
      <c r="B13" t="s">
        <v>245</v>
      </c>
      <c r="C13" t="s">
        <v>153</v>
      </c>
      <c r="D13" s="3">
        <v>44784</v>
      </c>
      <c r="E13" s="12">
        <v>1962.9300539999999</v>
      </c>
      <c r="F13" s="12"/>
      <c r="G13" s="12"/>
      <c r="H13" s="12"/>
      <c r="I13" s="12"/>
      <c r="J13" s="10">
        <v>36.251683999999997</v>
      </c>
      <c r="K13" s="10">
        <v>-123.154066</v>
      </c>
      <c r="L13" s="10" t="s">
        <v>257</v>
      </c>
      <c r="M13" t="s">
        <v>244</v>
      </c>
      <c r="O13" t="s">
        <v>244</v>
      </c>
    </row>
    <row r="14" spans="1:17" x14ac:dyDescent="0.25">
      <c r="A14" t="s">
        <v>268</v>
      </c>
      <c r="B14" t="s">
        <v>14</v>
      </c>
      <c r="C14" t="s">
        <v>42</v>
      </c>
      <c r="D14" s="3">
        <v>30984</v>
      </c>
      <c r="E14" s="12">
        <v>504</v>
      </c>
      <c r="F14" s="12"/>
      <c r="G14" s="12"/>
      <c r="H14" s="12"/>
      <c r="I14" s="12"/>
      <c r="J14" s="10">
        <v>25.368055555555557</v>
      </c>
      <c r="K14" s="10">
        <v>-77.901388888888889</v>
      </c>
      <c r="M14" t="s">
        <v>244</v>
      </c>
    </row>
    <row r="15" spans="1:17" x14ac:dyDescent="0.25">
      <c r="A15" t="s">
        <v>269</v>
      </c>
      <c r="B15" t="s">
        <v>14</v>
      </c>
      <c r="C15" t="s">
        <v>43</v>
      </c>
      <c r="D15" s="3">
        <v>30984</v>
      </c>
      <c r="E15" s="12">
        <v>490</v>
      </c>
      <c r="F15" s="12"/>
      <c r="G15" s="12"/>
      <c r="H15" s="12"/>
      <c r="I15" s="12"/>
      <c r="J15" s="10">
        <v>25.368055555555557</v>
      </c>
      <c r="K15" s="10">
        <v>-77.901388888888889</v>
      </c>
    </row>
    <row r="16" spans="1:17" x14ac:dyDescent="0.25">
      <c r="A16" t="s">
        <v>270</v>
      </c>
      <c r="B16" t="s">
        <v>14</v>
      </c>
      <c r="C16" t="s">
        <v>44</v>
      </c>
      <c r="D16" s="3">
        <v>30984</v>
      </c>
      <c r="E16" s="12">
        <v>680</v>
      </c>
      <c r="F16" s="12"/>
      <c r="G16" s="12"/>
      <c r="H16" s="12"/>
      <c r="I16" s="12"/>
      <c r="J16" s="10">
        <v>25.81861111111111</v>
      </c>
      <c r="K16" s="10">
        <v>-77.684444444444452</v>
      </c>
    </row>
    <row r="17" spans="1:15" x14ac:dyDescent="0.25">
      <c r="A17" t="s">
        <v>271</v>
      </c>
      <c r="B17" t="s">
        <v>14</v>
      </c>
      <c r="C17" t="s">
        <v>45</v>
      </c>
      <c r="D17" s="3">
        <v>30984</v>
      </c>
      <c r="E17" s="18">
        <v>639</v>
      </c>
      <c r="F17" s="12"/>
      <c r="G17" s="12"/>
      <c r="H17" s="12"/>
      <c r="I17" s="12"/>
      <c r="J17" s="10">
        <v>25.81861111111111</v>
      </c>
      <c r="K17" s="10">
        <v>-77.684444444444452</v>
      </c>
    </row>
    <row r="18" spans="1:15" x14ac:dyDescent="0.25">
      <c r="A18" t="s">
        <v>251</v>
      </c>
      <c r="B18" t="s">
        <v>98</v>
      </c>
      <c r="C18" t="s">
        <v>141</v>
      </c>
      <c r="D18" s="3">
        <v>39960</v>
      </c>
      <c r="E18" s="18">
        <v>3323</v>
      </c>
      <c r="F18" s="12">
        <v>1.5880000590000001</v>
      </c>
      <c r="G18" s="12">
        <v>2.5759999750000002</v>
      </c>
      <c r="H18" s="12">
        <v>34.622001650000001</v>
      </c>
      <c r="I18" s="12">
        <v>92.190002440000001</v>
      </c>
      <c r="J18" s="10">
        <v>36.115433000000003</v>
      </c>
      <c r="K18" s="10">
        <v>-122.750405</v>
      </c>
      <c r="L18" s="10" t="s">
        <v>257</v>
      </c>
      <c r="M18" s="10"/>
    </row>
    <row r="19" spans="1:15" x14ac:dyDescent="0.25">
      <c r="A19" t="s">
        <v>398</v>
      </c>
      <c r="B19" t="s">
        <v>47</v>
      </c>
      <c r="C19" t="s">
        <v>143</v>
      </c>
      <c r="D19" s="3">
        <v>41469</v>
      </c>
      <c r="E19" s="18">
        <v>666.51727289999997</v>
      </c>
      <c r="F19" s="12">
        <v>4.6799998279999997</v>
      </c>
      <c r="G19" s="12">
        <v>0.223000005</v>
      </c>
      <c r="H19" s="12">
        <v>34.311000819999997</v>
      </c>
      <c r="I19" s="12">
        <v>84.33000183</v>
      </c>
      <c r="J19" s="10">
        <v>36.114730000000002</v>
      </c>
      <c r="K19" s="10">
        <v>-123.548024</v>
      </c>
      <c r="O19" s="4"/>
    </row>
    <row r="20" spans="1:15" x14ac:dyDescent="0.25">
      <c r="A20" s="5" t="s">
        <v>367</v>
      </c>
      <c r="B20" t="s">
        <v>47</v>
      </c>
      <c r="C20" t="s">
        <v>145</v>
      </c>
      <c r="D20" s="3">
        <v>41898</v>
      </c>
      <c r="E20" s="18">
        <v>858.21185300000002</v>
      </c>
      <c r="F20" s="12">
        <v>4.2639999389999996</v>
      </c>
      <c r="G20" s="12">
        <v>0.21400000199999999</v>
      </c>
      <c r="H20" s="12">
        <v>34.249000549999998</v>
      </c>
      <c r="I20" s="12">
        <v>88.540000919999997</v>
      </c>
      <c r="J20" s="10">
        <v>36.599753</v>
      </c>
      <c r="K20" s="10">
        <v>-122.149163</v>
      </c>
    </row>
    <row r="21" spans="1:15" x14ac:dyDescent="0.25">
      <c r="A21" t="s">
        <v>397</v>
      </c>
      <c r="B21" t="s">
        <v>127</v>
      </c>
      <c r="C21" t="s">
        <v>128</v>
      </c>
      <c r="D21" s="3">
        <v>27237</v>
      </c>
      <c r="E21" s="18">
        <v>1750</v>
      </c>
      <c r="F21" s="12"/>
      <c r="G21" s="12"/>
      <c r="H21" s="12"/>
      <c r="I21" s="12"/>
      <c r="J21" s="10">
        <f>0+3/60+1/3600</f>
        <v>5.0277777777777782E-2</v>
      </c>
      <c r="K21" s="13">
        <v>-22.733888888888899</v>
      </c>
      <c r="L21" s="13"/>
    </row>
    <row r="22" spans="1:15" x14ac:dyDescent="0.25">
      <c r="A22" t="s">
        <v>254</v>
      </c>
      <c r="B22" t="s">
        <v>14</v>
      </c>
      <c r="C22" t="s">
        <v>256</v>
      </c>
      <c r="D22" s="3">
        <v>32817</v>
      </c>
      <c r="E22" s="18">
        <v>890</v>
      </c>
      <c r="F22" s="21"/>
      <c r="G22" s="12"/>
      <c r="H22" s="12"/>
      <c r="I22" s="12"/>
      <c r="J22" s="10">
        <v>25.883888888888887</v>
      </c>
      <c r="K22" s="10">
        <v>-77.800833333333301</v>
      </c>
      <c r="L22" s="10" t="s">
        <v>258</v>
      </c>
    </row>
    <row r="23" spans="1:15" x14ac:dyDescent="0.25">
      <c r="A23" s="5" t="s">
        <v>368</v>
      </c>
      <c r="B23" t="s">
        <v>14</v>
      </c>
      <c r="C23" t="s">
        <v>236</v>
      </c>
      <c r="D23" s="3">
        <v>32827</v>
      </c>
      <c r="E23" s="18">
        <v>616</v>
      </c>
      <c r="F23" s="12"/>
      <c r="G23" s="12"/>
      <c r="H23" s="12"/>
      <c r="I23" s="12"/>
      <c r="J23" s="10">
        <v>26.000277777777779</v>
      </c>
      <c r="K23" s="10">
        <v>-77.467222222222219</v>
      </c>
      <c r="O23" t="s">
        <v>244</v>
      </c>
    </row>
    <row r="24" spans="1:15" x14ac:dyDescent="0.25">
      <c r="A24" t="s">
        <v>272</v>
      </c>
      <c r="B24" t="s">
        <v>14</v>
      </c>
      <c r="C24" t="s">
        <v>27</v>
      </c>
      <c r="D24" s="3">
        <v>32017</v>
      </c>
      <c r="E24" s="18">
        <v>868</v>
      </c>
      <c r="F24" s="12"/>
      <c r="G24" s="12"/>
      <c r="H24" s="12"/>
      <c r="I24" s="12"/>
      <c r="J24" s="10">
        <v>24.635555555555555</v>
      </c>
      <c r="K24" s="10">
        <v>-83.750833333333333</v>
      </c>
    </row>
    <row r="25" spans="1:15" x14ac:dyDescent="0.25">
      <c r="A25" s="5" t="s">
        <v>369</v>
      </c>
      <c r="B25" t="s">
        <v>14</v>
      </c>
      <c r="C25" t="s">
        <v>237</v>
      </c>
      <c r="D25" s="3">
        <v>32827</v>
      </c>
      <c r="E25" s="18">
        <v>479</v>
      </c>
      <c r="F25" s="12"/>
      <c r="G25" s="12"/>
      <c r="H25" s="12"/>
      <c r="I25" s="12"/>
      <c r="J25" s="10">
        <v>26.334722222222222</v>
      </c>
      <c r="K25" s="10">
        <v>-77.833333333333329</v>
      </c>
    </row>
    <row r="26" spans="1:15" x14ac:dyDescent="0.25">
      <c r="A26" t="s">
        <v>273</v>
      </c>
      <c r="B26" t="s">
        <v>14</v>
      </c>
      <c r="C26" t="s">
        <v>30</v>
      </c>
      <c r="D26" s="3">
        <v>32421</v>
      </c>
      <c r="E26" s="18">
        <v>594</v>
      </c>
      <c r="F26" s="12"/>
      <c r="G26" s="12"/>
      <c r="H26" s="12"/>
      <c r="I26" s="12"/>
      <c r="J26" s="10">
        <v>26.283333333333335</v>
      </c>
      <c r="K26" s="10">
        <v>-77.733333333333334</v>
      </c>
    </row>
    <row r="27" spans="1:15" x14ac:dyDescent="0.25">
      <c r="A27" s="5" t="s">
        <v>370</v>
      </c>
      <c r="B27" t="s">
        <v>14</v>
      </c>
      <c r="C27" t="s">
        <v>238</v>
      </c>
      <c r="D27" s="3">
        <v>32828</v>
      </c>
      <c r="E27" s="18">
        <v>565</v>
      </c>
      <c r="F27" s="12"/>
      <c r="G27" s="12"/>
      <c r="H27" s="12"/>
      <c r="I27" s="12"/>
      <c r="J27" s="10">
        <v>26.067499999999999</v>
      </c>
      <c r="K27" s="10">
        <v>-77.567499999999995</v>
      </c>
    </row>
    <row r="28" spans="1:15" x14ac:dyDescent="0.25">
      <c r="A28" s="5" t="s">
        <v>372</v>
      </c>
      <c r="B28" t="s">
        <v>14</v>
      </c>
      <c r="C28" t="s">
        <v>239</v>
      </c>
      <c r="D28" s="3">
        <v>32829</v>
      </c>
      <c r="E28" s="18">
        <v>544</v>
      </c>
      <c r="F28" s="12"/>
      <c r="G28" s="12"/>
      <c r="H28" s="12"/>
      <c r="I28" s="12"/>
      <c r="J28" s="10">
        <v>26.067499999999999</v>
      </c>
      <c r="K28" s="10">
        <v>-77.567499999999995</v>
      </c>
    </row>
    <row r="29" spans="1:15" x14ac:dyDescent="0.25">
      <c r="A29" t="s">
        <v>274</v>
      </c>
      <c r="B29" t="s">
        <v>14</v>
      </c>
      <c r="C29" t="s">
        <v>31</v>
      </c>
      <c r="D29" s="3">
        <v>32426</v>
      </c>
      <c r="E29" s="18">
        <v>841</v>
      </c>
      <c r="F29" s="12"/>
      <c r="G29" s="12"/>
      <c r="H29" s="12"/>
      <c r="I29" s="12"/>
      <c r="J29" s="10">
        <v>26.452222222222222</v>
      </c>
      <c r="K29" s="10">
        <v>-77.969166666666666</v>
      </c>
    </row>
    <row r="30" spans="1:15" x14ac:dyDescent="0.25">
      <c r="A30" t="s">
        <v>275</v>
      </c>
      <c r="B30" t="s">
        <v>14</v>
      </c>
      <c r="C30" t="s">
        <v>32</v>
      </c>
      <c r="D30" s="3">
        <v>32426</v>
      </c>
      <c r="E30" s="18">
        <v>798</v>
      </c>
      <c r="F30" s="15"/>
      <c r="G30" s="15"/>
      <c r="H30" s="15"/>
      <c r="I30" s="15"/>
      <c r="J30" s="10">
        <f>26+27/60+9/3600</f>
        <v>26.452500000000001</v>
      </c>
      <c r="K30" s="10">
        <f>-(77+58/60+9/3600)</f>
        <v>-77.969166666666666</v>
      </c>
    </row>
    <row r="31" spans="1:15" x14ac:dyDescent="0.25">
      <c r="A31" s="5" t="s">
        <v>371</v>
      </c>
      <c r="B31" t="s">
        <v>14</v>
      </c>
      <c r="C31" t="s">
        <v>240</v>
      </c>
      <c r="D31" s="3">
        <v>32829</v>
      </c>
      <c r="E31" s="18">
        <v>518</v>
      </c>
      <c r="F31" s="15"/>
      <c r="G31" s="15"/>
      <c r="H31" s="12"/>
      <c r="I31" s="12"/>
      <c r="J31" s="10">
        <v>25.968055555555555</v>
      </c>
      <c r="K31" s="10">
        <v>-77.401944444444453</v>
      </c>
    </row>
    <row r="32" spans="1:15" x14ac:dyDescent="0.25">
      <c r="A32" t="s">
        <v>276</v>
      </c>
      <c r="B32" t="s">
        <v>14</v>
      </c>
      <c r="C32" t="s">
        <v>21</v>
      </c>
      <c r="D32" s="3">
        <v>32817</v>
      </c>
      <c r="E32" s="18">
        <v>855</v>
      </c>
      <c r="F32" s="12"/>
      <c r="G32" s="12"/>
      <c r="H32" s="12"/>
      <c r="I32" s="12"/>
      <c r="J32" s="10">
        <v>25.883888888888887</v>
      </c>
      <c r="K32" s="10">
        <v>-77.80083333333333</v>
      </c>
    </row>
    <row r="33" spans="1:14" x14ac:dyDescent="0.25">
      <c r="A33" t="s">
        <v>277</v>
      </c>
      <c r="B33" t="s">
        <v>14</v>
      </c>
      <c r="C33" t="s">
        <v>22</v>
      </c>
      <c r="D33" s="3">
        <v>32821</v>
      </c>
      <c r="E33" s="18">
        <v>720</v>
      </c>
      <c r="F33" s="12"/>
      <c r="G33" s="12"/>
      <c r="H33" s="12"/>
      <c r="I33" s="12"/>
      <c r="J33" s="10">
        <v>26.033333333333335</v>
      </c>
      <c r="K33" s="10">
        <v>-77.533333333333331</v>
      </c>
    </row>
    <row r="34" spans="1:14" x14ac:dyDescent="0.25">
      <c r="A34" s="5" t="s">
        <v>373</v>
      </c>
      <c r="B34" t="s">
        <v>14</v>
      </c>
      <c r="C34" t="s">
        <v>250</v>
      </c>
      <c r="D34" s="3">
        <v>32830</v>
      </c>
      <c r="E34" s="18">
        <v>572</v>
      </c>
      <c r="F34" s="12"/>
      <c r="G34" s="12"/>
      <c r="H34" s="12"/>
      <c r="I34" s="12"/>
      <c r="J34" s="10">
        <v>26.05</v>
      </c>
      <c r="K34" s="10">
        <v>-77.533333333333331</v>
      </c>
    </row>
    <row r="35" spans="1:14" x14ac:dyDescent="0.25">
      <c r="A35" s="5" t="s">
        <v>374</v>
      </c>
      <c r="B35" t="s">
        <v>14</v>
      </c>
      <c r="C35" t="s">
        <v>241</v>
      </c>
      <c r="D35" s="3">
        <v>32830</v>
      </c>
      <c r="E35" s="18">
        <v>577</v>
      </c>
      <c r="F35" s="12"/>
      <c r="G35" s="12"/>
      <c r="H35" s="12"/>
      <c r="I35" s="12"/>
      <c r="J35" s="10">
        <v>26.05</v>
      </c>
      <c r="K35" s="10">
        <v>-77.533333333333331</v>
      </c>
    </row>
    <row r="36" spans="1:14" x14ac:dyDescent="0.25">
      <c r="A36" t="s">
        <v>394</v>
      </c>
      <c r="B36" t="s">
        <v>14</v>
      </c>
      <c r="C36" t="s">
        <v>23</v>
      </c>
      <c r="D36" s="3">
        <v>32828</v>
      </c>
      <c r="E36" s="18">
        <v>573</v>
      </c>
      <c r="F36" s="12"/>
      <c r="G36" s="12"/>
      <c r="H36" s="12"/>
      <c r="I36" s="12"/>
      <c r="J36" s="10">
        <v>26.067499999999999</v>
      </c>
      <c r="K36" s="10">
        <v>-77.567499999999995</v>
      </c>
    </row>
    <row r="37" spans="1:14" x14ac:dyDescent="0.25">
      <c r="A37" t="s">
        <v>278</v>
      </c>
      <c r="B37" t="s">
        <v>14</v>
      </c>
      <c r="C37" t="s">
        <v>24</v>
      </c>
      <c r="D37" s="3">
        <v>32828</v>
      </c>
      <c r="E37" s="18">
        <v>597</v>
      </c>
      <c r="F37" s="12"/>
      <c r="G37" s="12"/>
      <c r="H37" s="12"/>
      <c r="I37" s="12"/>
      <c r="J37" s="10">
        <v>26.067499999999999</v>
      </c>
      <c r="K37" s="10">
        <v>-77.567499999999995</v>
      </c>
    </row>
    <row r="38" spans="1:14" x14ac:dyDescent="0.25">
      <c r="A38" s="5" t="s">
        <v>375</v>
      </c>
      <c r="B38" t="s">
        <v>14</v>
      </c>
      <c r="C38" t="s">
        <v>230</v>
      </c>
      <c r="D38" s="3">
        <v>30989</v>
      </c>
      <c r="E38" s="18">
        <v>533</v>
      </c>
      <c r="F38" s="12"/>
      <c r="G38" s="12"/>
      <c r="H38" s="12"/>
      <c r="I38" s="12"/>
      <c r="J38" s="10">
        <v>25.367777777777778</v>
      </c>
      <c r="K38" s="10">
        <v>-77.884722222222223</v>
      </c>
    </row>
    <row r="39" spans="1:14" x14ac:dyDescent="0.25">
      <c r="A39" s="5" t="s">
        <v>376</v>
      </c>
      <c r="B39" t="s">
        <v>14</v>
      </c>
      <c r="C39" t="s">
        <v>231</v>
      </c>
      <c r="D39" s="3">
        <v>30990</v>
      </c>
      <c r="E39" s="18">
        <v>518</v>
      </c>
      <c r="F39" s="12"/>
      <c r="G39" s="12"/>
      <c r="H39" s="12"/>
      <c r="I39" s="12"/>
      <c r="J39" s="10">
        <v>24.635555555555555</v>
      </c>
      <c r="K39" s="10">
        <v>-83.750833333333333</v>
      </c>
    </row>
    <row r="40" spans="1:14" x14ac:dyDescent="0.25">
      <c r="A40" t="s">
        <v>253</v>
      </c>
      <c r="B40" t="s">
        <v>14</v>
      </c>
      <c r="C40" t="s">
        <v>255</v>
      </c>
      <c r="D40" s="3">
        <v>32023</v>
      </c>
      <c r="E40" s="18">
        <v>841</v>
      </c>
      <c r="F40" s="21"/>
      <c r="G40" s="12"/>
      <c r="H40" s="12"/>
      <c r="I40" s="12"/>
      <c r="J40" s="10">
        <v>24.001666666666665</v>
      </c>
      <c r="K40" s="10">
        <v>-82.284444444444404</v>
      </c>
      <c r="L40" s="10" t="s">
        <v>257</v>
      </c>
    </row>
    <row r="41" spans="1:14" x14ac:dyDescent="0.25">
      <c r="A41" s="5" t="s">
        <v>377</v>
      </c>
      <c r="B41" t="s">
        <v>14</v>
      </c>
      <c r="C41" t="s">
        <v>232</v>
      </c>
      <c r="D41" s="3">
        <v>32421</v>
      </c>
      <c r="E41" s="18">
        <v>549</v>
      </c>
      <c r="F41" s="12"/>
      <c r="G41" s="12"/>
      <c r="H41" s="12"/>
      <c r="I41" s="12"/>
      <c r="J41" s="10">
        <v>26.283333333333335</v>
      </c>
      <c r="K41" s="10">
        <v>-77.733333333333334</v>
      </c>
    </row>
    <row r="42" spans="1:14" x14ac:dyDescent="0.25">
      <c r="A42" s="5" t="s">
        <v>378</v>
      </c>
      <c r="B42" t="s">
        <v>14</v>
      </c>
      <c r="C42" t="s">
        <v>233</v>
      </c>
      <c r="D42" s="3">
        <v>32422</v>
      </c>
      <c r="E42" s="18">
        <v>594</v>
      </c>
      <c r="F42" s="12"/>
      <c r="G42" s="12"/>
      <c r="H42" s="12"/>
      <c r="I42" s="12"/>
      <c r="J42" s="10">
        <v>25.985555555555557</v>
      </c>
      <c r="K42" s="10">
        <v>-77.452500000000001</v>
      </c>
    </row>
    <row r="43" spans="1:14" x14ac:dyDescent="0.25">
      <c r="A43" t="s">
        <v>279</v>
      </c>
      <c r="B43" t="s">
        <v>14</v>
      </c>
      <c r="C43" t="s">
        <v>25</v>
      </c>
      <c r="D43" s="3">
        <v>32831</v>
      </c>
      <c r="E43" s="18">
        <v>552</v>
      </c>
      <c r="F43" s="12"/>
      <c r="G43" s="12"/>
      <c r="H43" s="12"/>
      <c r="I43" s="12"/>
      <c r="J43" s="10">
        <v>26.36888888888889</v>
      </c>
      <c r="K43" s="10">
        <v>-77.785833333333329</v>
      </c>
    </row>
    <row r="44" spans="1:14" x14ac:dyDescent="0.25">
      <c r="A44" t="s">
        <v>280</v>
      </c>
      <c r="B44" t="s">
        <v>14</v>
      </c>
      <c r="C44" t="s">
        <v>26</v>
      </c>
      <c r="D44" s="3">
        <v>32859</v>
      </c>
      <c r="E44" s="18">
        <v>552</v>
      </c>
      <c r="F44" s="12"/>
      <c r="G44" s="12"/>
      <c r="H44" s="12"/>
      <c r="I44" s="12"/>
      <c r="J44" s="10">
        <v>26.517777777777777</v>
      </c>
      <c r="K44" s="10">
        <v>-78.085277777777776</v>
      </c>
    </row>
    <row r="45" spans="1:14" x14ac:dyDescent="0.25">
      <c r="A45" t="s">
        <v>281</v>
      </c>
      <c r="B45" t="s">
        <v>14</v>
      </c>
      <c r="C45" t="s">
        <v>0</v>
      </c>
      <c r="D45" s="3">
        <v>41903</v>
      </c>
      <c r="E45" s="18">
        <v>395.28854369999999</v>
      </c>
      <c r="F45" s="12">
        <v>7.5180001259999996</v>
      </c>
      <c r="G45" s="12">
        <v>0.70300000900000004</v>
      </c>
      <c r="H45" s="12">
        <v>34.227001190000003</v>
      </c>
      <c r="I45" s="12">
        <v>88.480003359999998</v>
      </c>
      <c r="J45" s="10">
        <v>35.943359000000001</v>
      </c>
      <c r="K45" s="10">
        <v>-122.93505399999999</v>
      </c>
      <c r="M45" t="s">
        <v>244</v>
      </c>
      <c r="N45" t="s">
        <v>244</v>
      </c>
    </row>
    <row r="46" spans="1:14" x14ac:dyDescent="0.25">
      <c r="A46" t="s">
        <v>282</v>
      </c>
      <c r="B46" t="s">
        <v>47</v>
      </c>
      <c r="C46" t="s">
        <v>4</v>
      </c>
      <c r="D46" s="3">
        <v>40156</v>
      </c>
      <c r="E46" s="18">
        <v>733.56103519999999</v>
      </c>
      <c r="F46" s="12">
        <v>4.5720000269999996</v>
      </c>
      <c r="G46" s="12">
        <v>0.23800000499999999</v>
      </c>
      <c r="H46" s="12">
        <v>34.233001710000003</v>
      </c>
      <c r="I46" s="12">
        <v>90.050003050000001</v>
      </c>
      <c r="J46" s="10">
        <v>36.607773000000002</v>
      </c>
      <c r="K46" s="10">
        <v>-122.38264599999999</v>
      </c>
    </row>
    <row r="47" spans="1:14" x14ac:dyDescent="0.25">
      <c r="A47" t="s">
        <v>283</v>
      </c>
      <c r="B47" t="s">
        <v>47</v>
      </c>
      <c r="C47" t="s">
        <v>2</v>
      </c>
      <c r="D47" s="3">
        <v>40158</v>
      </c>
      <c r="E47" s="18">
        <v>470.80099489999998</v>
      </c>
      <c r="F47" s="12">
        <v>6.6960000989999999</v>
      </c>
      <c r="G47" s="12">
        <v>0.64200002</v>
      </c>
      <c r="H47" s="12">
        <v>34.106998439999998</v>
      </c>
      <c r="I47" s="12">
        <v>89.41999817</v>
      </c>
      <c r="J47" s="10">
        <v>36.699693000000003</v>
      </c>
      <c r="K47" s="10">
        <v>-122.049558</v>
      </c>
    </row>
    <row r="48" spans="1:14" x14ac:dyDescent="0.25">
      <c r="A48" t="s">
        <v>284</v>
      </c>
      <c r="B48" t="s">
        <v>47</v>
      </c>
      <c r="C48" t="s">
        <v>3</v>
      </c>
      <c r="D48" s="3">
        <v>40159</v>
      </c>
      <c r="E48" s="18">
        <v>661.97106929999995</v>
      </c>
      <c r="F48" s="12">
        <v>5.4460000989999999</v>
      </c>
      <c r="G48" s="12">
        <v>0.335999995</v>
      </c>
      <c r="H48" s="12">
        <v>34.203998570000003</v>
      </c>
      <c r="I48" s="12">
        <v>88.91999817</v>
      </c>
      <c r="J48" s="10">
        <v>36.700457</v>
      </c>
      <c r="K48" s="10">
        <v>-122.048715</v>
      </c>
    </row>
    <row r="49" spans="1:15" x14ac:dyDescent="0.25">
      <c r="A49" s="5" t="s">
        <v>379</v>
      </c>
      <c r="B49" t="s">
        <v>14</v>
      </c>
      <c r="C49" t="s">
        <v>234</v>
      </c>
      <c r="D49" s="3">
        <v>32425</v>
      </c>
      <c r="E49" s="18">
        <v>659</v>
      </c>
      <c r="F49" s="12"/>
      <c r="G49" s="12"/>
      <c r="H49" s="12"/>
      <c r="I49" s="12"/>
      <c r="J49" s="10">
        <v>26.467777777777776</v>
      </c>
      <c r="K49" s="10">
        <v>-77.967500000000001</v>
      </c>
    </row>
    <row r="50" spans="1:15" x14ac:dyDescent="0.25">
      <c r="A50" t="s">
        <v>285</v>
      </c>
      <c r="B50" t="s">
        <v>47</v>
      </c>
      <c r="C50" t="s">
        <v>53</v>
      </c>
      <c r="D50" s="3">
        <v>40299</v>
      </c>
      <c r="E50" s="18">
        <v>795.18408199999999</v>
      </c>
      <c r="F50" s="12">
        <v>4.3499999049999998</v>
      </c>
      <c r="G50" s="12">
        <v>0.22699999800000001</v>
      </c>
      <c r="H50" s="12">
        <v>34.388000490000003</v>
      </c>
      <c r="I50" s="12">
        <v>86.940002440000001</v>
      </c>
      <c r="J50" s="10">
        <v>36.600116</v>
      </c>
      <c r="K50" s="10">
        <v>-122.149562</v>
      </c>
    </row>
    <row r="51" spans="1:15" x14ac:dyDescent="0.25">
      <c r="A51" t="s">
        <v>286</v>
      </c>
      <c r="B51" t="s">
        <v>47</v>
      </c>
      <c r="C51" t="s">
        <v>54</v>
      </c>
      <c r="D51" s="3">
        <v>40299</v>
      </c>
      <c r="E51" s="18">
        <v>535.7929077</v>
      </c>
      <c r="F51" s="12">
        <v>5.683000088</v>
      </c>
      <c r="G51" s="12">
        <v>0.286000013</v>
      </c>
      <c r="H51" s="12">
        <v>34.286998750000002</v>
      </c>
      <c r="I51" s="12">
        <v>86.370002749999998</v>
      </c>
      <c r="J51" s="10">
        <v>36.599851000000001</v>
      </c>
      <c r="K51" s="10">
        <v>-122.14909400000001</v>
      </c>
    </row>
    <row r="52" spans="1:15" x14ac:dyDescent="0.25">
      <c r="A52" t="s">
        <v>287</v>
      </c>
      <c r="B52" t="s">
        <v>47</v>
      </c>
      <c r="C52" t="s">
        <v>55</v>
      </c>
      <c r="D52" s="3">
        <v>40462</v>
      </c>
      <c r="E52" s="18">
        <v>804.72583010000005</v>
      </c>
      <c r="F52" s="12">
        <v>4.5879998210000004</v>
      </c>
      <c r="G52" s="12">
        <v>0.27500000600000002</v>
      </c>
      <c r="H52" s="12">
        <v>34.375</v>
      </c>
      <c r="I52" s="12">
        <v>87.440002440000001</v>
      </c>
      <c r="J52" s="10">
        <v>36.602103999999997</v>
      </c>
      <c r="K52" s="10">
        <v>-122.149506</v>
      </c>
      <c r="O52" t="s">
        <v>244</v>
      </c>
    </row>
    <row r="53" spans="1:15" x14ac:dyDescent="0.25">
      <c r="A53" t="s">
        <v>288</v>
      </c>
      <c r="B53" t="s">
        <v>47</v>
      </c>
      <c r="C53" t="s">
        <v>56</v>
      </c>
      <c r="D53" s="3">
        <v>40463</v>
      </c>
      <c r="E53" s="18">
        <v>887.48187259999997</v>
      </c>
      <c r="F53" s="12">
        <v>4.2480001449999998</v>
      </c>
      <c r="G53" s="12">
        <v>0.32600000499999998</v>
      </c>
      <c r="H53" s="12">
        <v>34.411998750000002</v>
      </c>
      <c r="I53" s="12">
        <v>87.41999817</v>
      </c>
      <c r="J53" s="10">
        <v>36.700201999999997</v>
      </c>
      <c r="K53" s="10">
        <v>-122.098985</v>
      </c>
    </row>
    <row r="54" spans="1:15" x14ac:dyDescent="0.25">
      <c r="A54" t="s">
        <v>289</v>
      </c>
      <c r="B54" t="s">
        <v>47</v>
      </c>
      <c r="C54" t="s">
        <v>57</v>
      </c>
      <c r="D54" s="3">
        <v>40879</v>
      </c>
      <c r="E54" s="18">
        <v>808.94781490000003</v>
      </c>
      <c r="F54" s="12">
        <v>4.3759999279999997</v>
      </c>
      <c r="G54" s="12">
        <v>0.248999998</v>
      </c>
      <c r="H54" s="12">
        <v>34.394001009999997</v>
      </c>
      <c r="I54" s="12">
        <v>87.589996339999999</v>
      </c>
      <c r="J54" s="10">
        <v>36.603067000000003</v>
      </c>
      <c r="K54" s="10">
        <v>-122.375759</v>
      </c>
    </row>
    <row r="55" spans="1:15" x14ac:dyDescent="0.25">
      <c r="A55" t="s">
        <v>290</v>
      </c>
      <c r="B55" t="s">
        <v>47</v>
      </c>
      <c r="C55" t="s">
        <v>58</v>
      </c>
      <c r="D55" s="3">
        <v>40883</v>
      </c>
      <c r="E55" s="18">
        <v>862.75616460000003</v>
      </c>
      <c r="F55" s="12">
        <v>4.0910000799999997</v>
      </c>
      <c r="G55" s="12">
        <v>0.27500000600000002</v>
      </c>
      <c r="H55" s="12">
        <v>34.409000399999996</v>
      </c>
      <c r="I55" s="12">
        <v>87.800003050000001</v>
      </c>
      <c r="J55" s="10">
        <v>36.116512999999998</v>
      </c>
      <c r="K55" s="10">
        <v>-123.549234</v>
      </c>
    </row>
    <row r="56" spans="1:15" x14ac:dyDescent="0.25">
      <c r="A56" t="s">
        <v>291</v>
      </c>
      <c r="B56" t="s">
        <v>47</v>
      </c>
      <c r="C56" t="s">
        <v>6</v>
      </c>
      <c r="D56" s="3">
        <v>40883</v>
      </c>
      <c r="E56" s="18">
        <v>595.3008423</v>
      </c>
      <c r="F56" s="12">
        <v>5.1189999579999999</v>
      </c>
      <c r="G56" s="12">
        <v>0.24099999699999999</v>
      </c>
      <c r="H56" s="12">
        <v>34.30099869</v>
      </c>
      <c r="I56" s="12">
        <v>87.709999080000003</v>
      </c>
      <c r="J56" s="10">
        <v>36.332782999999999</v>
      </c>
      <c r="K56" s="10">
        <v>-122.899885</v>
      </c>
    </row>
    <row r="57" spans="1:15" x14ac:dyDescent="0.25">
      <c r="A57" t="s">
        <v>292</v>
      </c>
      <c r="B57" t="s">
        <v>47</v>
      </c>
      <c r="C57" t="s">
        <v>59</v>
      </c>
      <c r="D57" s="3">
        <v>40883</v>
      </c>
      <c r="E57" s="18">
        <v>452.78909299999998</v>
      </c>
      <c r="F57" s="12">
        <v>5.5939998629999996</v>
      </c>
      <c r="G57" s="12">
        <v>0.56800001899999997</v>
      </c>
      <c r="H57" s="12">
        <v>34.167999270000003</v>
      </c>
      <c r="I57" s="12">
        <v>87.77999878</v>
      </c>
      <c r="J57" s="10">
        <v>36.362600999999998</v>
      </c>
      <c r="K57" s="10">
        <v>-122.813001</v>
      </c>
    </row>
    <row r="58" spans="1:15" x14ac:dyDescent="0.25">
      <c r="A58" t="s">
        <v>293</v>
      </c>
      <c r="B58" t="s">
        <v>47</v>
      </c>
      <c r="C58" t="s">
        <v>76</v>
      </c>
      <c r="D58" s="3">
        <v>37335</v>
      </c>
      <c r="E58" s="18">
        <v>350</v>
      </c>
      <c r="F58" s="12"/>
      <c r="G58" s="12"/>
      <c r="H58" s="12"/>
      <c r="I58" s="12"/>
      <c r="J58" s="10">
        <v>35.383333333333333</v>
      </c>
      <c r="K58" s="10">
        <v>-122.49638888888889</v>
      </c>
    </row>
    <row r="59" spans="1:15" x14ac:dyDescent="0.25">
      <c r="A59" t="s">
        <v>294</v>
      </c>
      <c r="B59" t="s">
        <v>47</v>
      </c>
      <c r="C59" t="s">
        <v>77</v>
      </c>
      <c r="D59" s="3">
        <v>37336</v>
      </c>
      <c r="E59" s="18">
        <v>340</v>
      </c>
      <c r="F59" s="12"/>
      <c r="G59" s="12"/>
      <c r="H59" s="12"/>
      <c r="I59" s="12"/>
      <c r="J59" s="10">
        <v>20.366666666666667</v>
      </c>
      <c r="K59" s="10">
        <v>-122.90166666666667</v>
      </c>
    </row>
    <row r="60" spans="1:15" x14ac:dyDescent="0.25">
      <c r="A60" s="5" t="s">
        <v>380</v>
      </c>
      <c r="B60" t="s">
        <v>14</v>
      </c>
      <c r="C60" t="s">
        <v>235</v>
      </c>
      <c r="D60" s="3">
        <v>32427</v>
      </c>
      <c r="E60" s="18">
        <v>708</v>
      </c>
      <c r="F60" s="12"/>
      <c r="G60" s="12"/>
      <c r="H60" s="12"/>
      <c r="I60" s="12"/>
      <c r="J60" s="10">
        <v>26.383333333333333</v>
      </c>
      <c r="K60" s="10">
        <v>-78.584999999999994</v>
      </c>
    </row>
    <row r="61" spans="1:15" x14ac:dyDescent="0.25">
      <c r="A61" t="s">
        <v>295</v>
      </c>
      <c r="B61" t="s">
        <v>47</v>
      </c>
      <c r="C61" t="s">
        <v>60</v>
      </c>
      <c r="D61" s="3">
        <v>41466</v>
      </c>
      <c r="E61" s="18">
        <v>584.95000000000005</v>
      </c>
      <c r="F61" s="12">
        <v>6.1020000000000003</v>
      </c>
      <c r="G61" s="12">
        <v>0.35199999999999998</v>
      </c>
      <c r="H61" s="12">
        <v>34.265999999999998</v>
      </c>
      <c r="I61" s="12">
        <v>83.59</v>
      </c>
      <c r="J61" s="10">
        <v>36.696528999999998</v>
      </c>
      <c r="K61" s="10">
        <v>-122.052594</v>
      </c>
      <c r="M61" t="s">
        <v>244</v>
      </c>
      <c r="O61" s="4" t="s">
        <v>244</v>
      </c>
    </row>
    <row r="62" spans="1:15" x14ac:dyDescent="0.25">
      <c r="A62" t="s">
        <v>296</v>
      </c>
      <c r="B62" t="s">
        <v>47</v>
      </c>
      <c r="C62" t="s">
        <v>61</v>
      </c>
      <c r="D62" s="3">
        <v>41467</v>
      </c>
      <c r="E62" s="18">
        <v>1133.225342</v>
      </c>
      <c r="F62" s="12">
        <v>3.52699995</v>
      </c>
      <c r="G62" s="12">
        <v>0.588999987</v>
      </c>
      <c r="H62" s="12">
        <v>34.498001100000003</v>
      </c>
      <c r="I62" s="12">
        <v>84.209999080000003</v>
      </c>
      <c r="J62" s="10">
        <v>35.999353999999997</v>
      </c>
      <c r="K62" s="10">
        <v>-122.416342</v>
      </c>
      <c r="O62" s="6"/>
    </row>
    <row r="63" spans="1:15" x14ac:dyDescent="0.25">
      <c r="A63" t="s">
        <v>297</v>
      </c>
      <c r="B63" t="s">
        <v>47</v>
      </c>
      <c r="C63" t="s">
        <v>62</v>
      </c>
      <c r="D63" s="3">
        <v>41467</v>
      </c>
      <c r="E63" s="18">
        <v>630.83392330000004</v>
      </c>
      <c r="F63" s="12">
        <v>4.8670001029999996</v>
      </c>
      <c r="G63" s="12">
        <v>0.25499999499999998</v>
      </c>
      <c r="H63" s="12">
        <v>34.278999329999998</v>
      </c>
      <c r="I63" s="12">
        <v>84.410003660000001</v>
      </c>
      <c r="J63" s="10">
        <v>35.931793999999996</v>
      </c>
      <c r="K63" s="10">
        <v>-122.931403</v>
      </c>
      <c r="O63" s="6"/>
    </row>
    <row r="64" spans="1:15" x14ac:dyDescent="0.25">
      <c r="A64" t="s">
        <v>298</v>
      </c>
      <c r="B64" t="s">
        <v>47</v>
      </c>
      <c r="C64" t="s">
        <v>63</v>
      </c>
      <c r="D64" s="3">
        <v>41468</v>
      </c>
      <c r="E64" s="18">
        <v>546.64721680000002</v>
      </c>
      <c r="F64" s="12">
        <v>5.2420001029999996</v>
      </c>
      <c r="G64" s="12">
        <v>0.38600000699999998</v>
      </c>
      <c r="H64" s="12">
        <v>34.2179985</v>
      </c>
      <c r="I64" s="12">
        <v>84.33000183</v>
      </c>
      <c r="J64" s="10">
        <v>36.114541000000003</v>
      </c>
      <c r="K64" s="10">
        <v>-123.548241</v>
      </c>
      <c r="O64" s="6"/>
    </row>
    <row r="65" spans="1:15" x14ac:dyDescent="0.25">
      <c r="A65" t="s">
        <v>299</v>
      </c>
      <c r="B65" t="s">
        <v>47</v>
      </c>
      <c r="C65" t="s">
        <v>64</v>
      </c>
      <c r="D65" s="3">
        <v>41599</v>
      </c>
      <c r="E65" s="18">
        <v>785.03588869999999</v>
      </c>
      <c r="F65" s="12">
        <v>4.6999998090000004</v>
      </c>
      <c r="G65" s="12">
        <v>0.27099999800000002</v>
      </c>
      <c r="H65" s="12">
        <v>34.4109993</v>
      </c>
      <c r="I65" s="12">
        <v>79.25</v>
      </c>
      <c r="J65" s="10">
        <v>36.065761000000002</v>
      </c>
      <c r="K65" s="10">
        <v>-122.402891</v>
      </c>
      <c r="O65" t="s">
        <v>244</v>
      </c>
    </row>
    <row r="66" spans="1:15" x14ac:dyDescent="0.25">
      <c r="A66" t="s">
        <v>300</v>
      </c>
      <c r="B66" t="s">
        <v>47</v>
      </c>
      <c r="C66" t="s">
        <v>65</v>
      </c>
      <c r="D66" s="3">
        <v>41603</v>
      </c>
      <c r="E66" s="18">
        <v>651.6367798</v>
      </c>
      <c r="F66" s="12">
        <v>5.2699999809999998</v>
      </c>
      <c r="G66" s="12">
        <v>0.21600000599999999</v>
      </c>
      <c r="H66" s="12">
        <v>34.35400009</v>
      </c>
      <c r="I66" s="12">
        <v>79.230003359999998</v>
      </c>
      <c r="J66" s="10">
        <v>36.084246999999998</v>
      </c>
      <c r="K66" s="10">
        <v>-122.40893699999999</v>
      </c>
    </row>
    <row r="67" spans="1:15" x14ac:dyDescent="0.25">
      <c r="A67" t="s">
        <v>301</v>
      </c>
      <c r="B67" t="s">
        <v>47</v>
      </c>
      <c r="C67" t="s">
        <v>66</v>
      </c>
      <c r="D67" s="3">
        <v>41599</v>
      </c>
      <c r="E67" s="18">
        <v>746.33502199999998</v>
      </c>
      <c r="F67" s="12">
        <v>4.875</v>
      </c>
      <c r="G67" s="12">
        <v>0.23800000499999999</v>
      </c>
      <c r="H67" s="12">
        <v>34.394001009999997</v>
      </c>
      <c r="I67" s="12">
        <v>79.269996640000002</v>
      </c>
      <c r="J67" s="10">
        <v>36.081968000000003</v>
      </c>
      <c r="K67" s="10">
        <v>-122.408799</v>
      </c>
    </row>
    <row r="68" spans="1:15" x14ac:dyDescent="0.25">
      <c r="A68" t="s">
        <v>302</v>
      </c>
      <c r="B68" t="s">
        <v>47</v>
      </c>
      <c r="C68" t="s">
        <v>67</v>
      </c>
      <c r="D68" s="3">
        <v>41600</v>
      </c>
      <c r="E68" s="18">
        <v>682.81518549999998</v>
      </c>
      <c r="F68" s="12">
        <v>5.1110000610000004</v>
      </c>
      <c r="G68" s="12">
        <v>0.221000001</v>
      </c>
      <c r="H68" s="12">
        <v>34.373001100000003</v>
      </c>
      <c r="I68" s="12">
        <v>79.040000919999997</v>
      </c>
      <c r="J68" s="10">
        <v>36.083986000000003</v>
      </c>
      <c r="K68" s="10">
        <v>-122.40903</v>
      </c>
    </row>
    <row r="69" spans="1:15" x14ac:dyDescent="0.25">
      <c r="A69" t="s">
        <v>303</v>
      </c>
      <c r="B69" t="s">
        <v>47</v>
      </c>
      <c r="C69" t="s">
        <v>48</v>
      </c>
      <c r="D69" s="3">
        <v>29106</v>
      </c>
      <c r="E69" s="12"/>
      <c r="F69" s="12"/>
      <c r="G69" s="12"/>
      <c r="H69" s="12"/>
      <c r="I69" s="12"/>
      <c r="J69" s="10">
        <f>33+4/60</f>
        <v>33.06666666666667</v>
      </c>
      <c r="K69" s="10">
        <f>-(118+16/60)</f>
        <v>-118.26666666666667</v>
      </c>
    </row>
    <row r="70" spans="1:15" x14ac:dyDescent="0.25">
      <c r="A70" t="s">
        <v>304</v>
      </c>
      <c r="B70" t="s">
        <v>47</v>
      </c>
      <c r="C70" t="s">
        <v>75</v>
      </c>
      <c r="D70" s="3">
        <v>34962</v>
      </c>
      <c r="E70" s="12">
        <v>779</v>
      </c>
      <c r="F70" s="12"/>
      <c r="G70" s="12"/>
      <c r="H70" s="12"/>
      <c r="I70" s="12"/>
      <c r="J70" s="10">
        <f>27+(2/60)+(7/3600)</f>
        <v>27.035277777777779</v>
      </c>
      <c r="K70" s="10">
        <v>-85.018055555555549</v>
      </c>
    </row>
    <row r="71" spans="1:15" x14ac:dyDescent="0.25">
      <c r="A71" t="s">
        <v>305</v>
      </c>
      <c r="B71" t="s">
        <v>47</v>
      </c>
      <c r="C71" t="s">
        <v>68</v>
      </c>
      <c r="D71" s="3">
        <v>41778</v>
      </c>
      <c r="E71" s="12">
        <v>875.71636960000001</v>
      </c>
      <c r="F71" s="12">
        <v>4.3670001029999996</v>
      </c>
      <c r="G71" s="12">
        <v>0.254000008</v>
      </c>
      <c r="H71" s="12">
        <v>34.386001589999999</v>
      </c>
      <c r="I71" s="12">
        <v>88.400001529999997</v>
      </c>
      <c r="J71" s="10">
        <v>35.848190000000002</v>
      </c>
      <c r="K71" s="10">
        <v>-122.66598500000001</v>
      </c>
      <c r="M71" t="s">
        <v>244</v>
      </c>
    </row>
    <row r="72" spans="1:15" x14ac:dyDescent="0.25">
      <c r="A72" t="s">
        <v>306</v>
      </c>
      <c r="B72" t="s">
        <v>47</v>
      </c>
      <c r="C72" t="s">
        <v>69</v>
      </c>
      <c r="D72" s="3">
        <v>41779</v>
      </c>
      <c r="E72" s="12">
        <v>451.1193237</v>
      </c>
      <c r="F72" s="12">
        <v>6.3429999349999999</v>
      </c>
      <c r="G72" s="12">
        <v>0.44299998899999998</v>
      </c>
      <c r="H72" s="12">
        <v>34.223999020000001</v>
      </c>
      <c r="I72" s="12">
        <v>88.339996339999999</v>
      </c>
      <c r="J72" s="10">
        <v>35.506709000000001</v>
      </c>
      <c r="K72" s="10">
        <v>-123.86763999999999</v>
      </c>
    </row>
    <row r="73" spans="1:15" x14ac:dyDescent="0.25">
      <c r="A73" s="5" t="s">
        <v>381</v>
      </c>
      <c r="B73" t="s">
        <v>14</v>
      </c>
      <c r="C73" t="s">
        <v>221</v>
      </c>
      <c r="D73" s="3">
        <v>30973</v>
      </c>
      <c r="E73" s="12">
        <v>549</v>
      </c>
      <c r="F73" s="12"/>
      <c r="G73" s="12"/>
      <c r="H73" s="12"/>
      <c r="I73" s="12"/>
      <c r="J73" s="10">
        <v>26.416666666666668</v>
      </c>
      <c r="K73" s="10">
        <v>-78.718333333333334</v>
      </c>
    </row>
    <row r="74" spans="1:15" x14ac:dyDescent="0.25">
      <c r="A74" t="s">
        <v>307</v>
      </c>
      <c r="B74" t="s">
        <v>47</v>
      </c>
      <c r="C74" t="s">
        <v>71</v>
      </c>
      <c r="D74" s="3">
        <v>41901</v>
      </c>
      <c r="E74" s="12">
        <v>933.47424320000005</v>
      </c>
      <c r="F74" s="12">
        <v>3.8239998819999999</v>
      </c>
      <c r="G74" s="12">
        <v>0.34599998599999998</v>
      </c>
      <c r="H74" s="12">
        <v>34.448001859999998</v>
      </c>
      <c r="I74" s="12">
        <v>88.680000309999997</v>
      </c>
      <c r="J74" s="10">
        <v>36.117128999999998</v>
      </c>
      <c r="K74" s="10">
        <v>-123.55023300000001</v>
      </c>
    </row>
    <row r="75" spans="1:15" x14ac:dyDescent="0.25">
      <c r="A75" t="s">
        <v>72</v>
      </c>
      <c r="B75" t="s">
        <v>47</v>
      </c>
      <c r="C75" t="s">
        <v>73</v>
      </c>
      <c r="D75" s="3">
        <v>41902</v>
      </c>
      <c r="E75" s="12">
        <v>550.63708499999996</v>
      </c>
      <c r="F75" s="12">
        <v>4.8790001869999999</v>
      </c>
      <c r="G75" s="12">
        <v>0.36100000100000001</v>
      </c>
      <c r="H75" s="12">
        <v>34.206001280000002</v>
      </c>
      <c r="I75" s="12">
        <v>88.660003660000001</v>
      </c>
      <c r="J75" s="10">
        <v>35.497705000000003</v>
      </c>
      <c r="K75" s="10">
        <v>-123.999692</v>
      </c>
    </row>
    <row r="76" spans="1:15" x14ac:dyDescent="0.25">
      <c r="A76" t="s">
        <v>308</v>
      </c>
      <c r="B76" t="s">
        <v>47</v>
      </c>
      <c r="C76" t="s">
        <v>80</v>
      </c>
      <c r="D76" s="3">
        <v>38131</v>
      </c>
      <c r="E76" s="12"/>
      <c r="F76" s="12"/>
      <c r="G76" s="12"/>
      <c r="H76" s="12"/>
      <c r="I76" s="12"/>
      <c r="J76" s="10">
        <v>34.749785000000003</v>
      </c>
      <c r="K76" s="10">
        <v>-124.57472222222222</v>
      </c>
    </row>
    <row r="77" spans="1:15" x14ac:dyDescent="0.25">
      <c r="A77" t="s">
        <v>309</v>
      </c>
      <c r="B77" t="s">
        <v>47</v>
      </c>
      <c r="C77" t="s">
        <v>79</v>
      </c>
      <c r="D77" s="3">
        <v>38131</v>
      </c>
      <c r="E77" s="12">
        <v>645</v>
      </c>
      <c r="F77" s="12">
        <v>4.6399999999999997</v>
      </c>
      <c r="G77" s="12">
        <v>0.38</v>
      </c>
      <c r="H77" s="12">
        <v>34.185000000000002</v>
      </c>
      <c r="I77" s="12">
        <v>85.95</v>
      </c>
      <c r="J77" s="10">
        <v>34.749785000000003</v>
      </c>
      <c r="K77" s="10">
        <v>-124.57472222222222</v>
      </c>
      <c r="N77" t="s">
        <v>244</v>
      </c>
    </row>
    <row r="78" spans="1:15" x14ac:dyDescent="0.25">
      <c r="A78" t="s">
        <v>310</v>
      </c>
      <c r="B78" t="s">
        <v>47</v>
      </c>
      <c r="C78" t="s">
        <v>81</v>
      </c>
      <c r="D78" s="3">
        <v>38266</v>
      </c>
      <c r="E78" s="12">
        <v>517</v>
      </c>
      <c r="F78" s="12"/>
      <c r="G78" s="12"/>
      <c r="H78" s="12"/>
      <c r="I78" s="12"/>
      <c r="J78" s="10">
        <f>35+29/60+81/3600</f>
        <v>35.505833333333335</v>
      </c>
      <c r="K78" s="10">
        <f>-(123+52/60+1/3600)</f>
        <v>-123.86694444444444</v>
      </c>
    </row>
    <row r="79" spans="1:15" x14ac:dyDescent="0.25">
      <c r="A79" t="s">
        <v>311</v>
      </c>
      <c r="B79" t="s">
        <v>47</v>
      </c>
      <c r="C79" t="s">
        <v>104</v>
      </c>
      <c r="D79" s="3">
        <v>42532</v>
      </c>
      <c r="E79" s="12">
        <v>546.2109375</v>
      </c>
      <c r="F79" s="12">
        <v>5.4310002329999998</v>
      </c>
      <c r="G79" s="12">
        <v>0.256000012</v>
      </c>
      <c r="H79" s="12">
        <v>34.277000430000001</v>
      </c>
      <c r="I79" s="12">
        <v>85.900001529999997</v>
      </c>
      <c r="J79" s="10">
        <v>36.334254000000001</v>
      </c>
      <c r="K79" s="10">
        <v>-122.307861</v>
      </c>
    </row>
    <row r="80" spans="1:15" x14ac:dyDescent="0.25">
      <c r="A80" t="s">
        <v>312</v>
      </c>
      <c r="B80" t="s">
        <v>47</v>
      </c>
      <c r="C80" t="s">
        <v>74</v>
      </c>
      <c r="D80" s="3">
        <v>42895</v>
      </c>
      <c r="E80" s="12">
        <v>705.51739499999996</v>
      </c>
      <c r="F80" s="12">
        <v>4.6849999430000002</v>
      </c>
      <c r="G80" s="12">
        <v>0.184</v>
      </c>
      <c r="H80" s="12">
        <v>34.344001769999998</v>
      </c>
      <c r="I80" s="12">
        <v>79.629997250000002</v>
      </c>
      <c r="J80" s="10">
        <v>35.495911</v>
      </c>
      <c r="K80" s="10">
        <v>-123.99852300000001</v>
      </c>
    </row>
    <row r="81" spans="1:15" x14ac:dyDescent="0.25">
      <c r="A81" s="5" t="s">
        <v>382</v>
      </c>
      <c r="B81" t="s">
        <v>14</v>
      </c>
      <c r="C81" t="s">
        <v>35</v>
      </c>
      <c r="D81" s="3">
        <v>30973</v>
      </c>
      <c r="E81" s="12">
        <v>549</v>
      </c>
      <c r="F81" s="12"/>
      <c r="G81" s="12"/>
      <c r="H81" s="12"/>
      <c r="I81" s="12"/>
      <c r="J81" s="10">
        <v>26.585833333333333</v>
      </c>
      <c r="K81" s="10">
        <v>-78.18416666666667</v>
      </c>
      <c r="O81" t="s">
        <v>244</v>
      </c>
    </row>
    <row r="82" spans="1:15" x14ac:dyDescent="0.25">
      <c r="A82" t="s">
        <v>50</v>
      </c>
      <c r="B82" t="s">
        <v>47</v>
      </c>
      <c r="C82" t="s">
        <v>51</v>
      </c>
      <c r="D82" s="3">
        <v>43661</v>
      </c>
      <c r="E82" s="12">
        <v>437.51998900000001</v>
      </c>
      <c r="F82" s="12">
        <v>6.6620001789999996</v>
      </c>
      <c r="G82" s="12">
        <v>0.56599998500000004</v>
      </c>
      <c r="H82" s="12">
        <v>34.242000580000003</v>
      </c>
      <c r="I82" s="12">
        <v>84.52999878</v>
      </c>
      <c r="J82" s="10">
        <v>36.420198999999997</v>
      </c>
      <c r="K82" s="10">
        <v>-122.28791699999999</v>
      </c>
    </row>
    <row r="83" spans="1:15" x14ac:dyDescent="0.25">
      <c r="A83" t="s">
        <v>313</v>
      </c>
      <c r="B83" t="s">
        <v>47</v>
      </c>
      <c r="C83" t="s">
        <v>83</v>
      </c>
      <c r="D83" s="3">
        <v>40301</v>
      </c>
      <c r="E83" s="12">
        <v>498.26196290000001</v>
      </c>
      <c r="F83" s="12">
        <v>5.7979998589999999</v>
      </c>
      <c r="G83" s="12">
        <v>0.39300000699999998</v>
      </c>
      <c r="H83" s="12">
        <v>34.243999479999999</v>
      </c>
      <c r="I83" s="12">
        <v>89.02999878</v>
      </c>
      <c r="J83" s="10">
        <v>36.697251000000001</v>
      </c>
      <c r="K83" s="10">
        <v>-122.051068</v>
      </c>
    </row>
    <row r="84" spans="1:15" x14ac:dyDescent="0.25">
      <c r="A84" t="s">
        <v>314</v>
      </c>
      <c r="B84" t="s">
        <v>47</v>
      </c>
      <c r="C84" t="s">
        <v>82</v>
      </c>
      <c r="D84" s="3">
        <v>40301</v>
      </c>
      <c r="E84" s="12">
        <v>453.54821779999997</v>
      </c>
      <c r="F84" s="12">
        <v>6.1630001070000002</v>
      </c>
      <c r="G84" s="12">
        <v>0.48100000599999998</v>
      </c>
      <c r="H84" s="12">
        <v>34.228000639999998</v>
      </c>
      <c r="I84" s="12">
        <v>88.760002139999997</v>
      </c>
      <c r="J84" s="10">
        <v>36.698368000000002</v>
      </c>
      <c r="K84" s="10">
        <v>-122.05116700000001</v>
      </c>
    </row>
    <row r="85" spans="1:15" x14ac:dyDescent="0.25">
      <c r="A85" s="5" t="s">
        <v>383</v>
      </c>
      <c r="B85" t="s">
        <v>14</v>
      </c>
      <c r="C85" t="s">
        <v>222</v>
      </c>
      <c r="D85" s="3">
        <v>30976</v>
      </c>
      <c r="E85" s="12">
        <v>549</v>
      </c>
      <c r="F85" s="12"/>
      <c r="G85" s="12"/>
      <c r="H85" s="12"/>
      <c r="I85" s="12"/>
      <c r="J85" s="10">
        <v>26.400833333333331</v>
      </c>
      <c r="K85" s="10">
        <v>-77.818888888888878</v>
      </c>
    </row>
    <row r="86" spans="1:15" x14ac:dyDescent="0.25">
      <c r="A86" t="s">
        <v>315</v>
      </c>
      <c r="B86" t="s">
        <v>47</v>
      </c>
      <c r="C86" t="s">
        <v>144</v>
      </c>
      <c r="D86" s="3">
        <v>41778</v>
      </c>
      <c r="E86" s="12">
        <v>1022.5557250000001</v>
      </c>
      <c r="F86" s="12">
        <v>3.9010000229999999</v>
      </c>
      <c r="G86" s="12">
        <v>0.416000009</v>
      </c>
      <c r="H86" s="12">
        <v>34.44900131</v>
      </c>
      <c r="I86" s="12">
        <v>88.459999080000003</v>
      </c>
      <c r="J86" s="10">
        <v>35.743527</v>
      </c>
      <c r="K86" s="10">
        <v>-122.744944</v>
      </c>
    </row>
    <row r="87" spans="1:15" x14ac:dyDescent="0.25">
      <c r="A87" s="5" t="s">
        <v>384</v>
      </c>
      <c r="B87" t="s">
        <v>14</v>
      </c>
      <c r="C87" t="s">
        <v>223</v>
      </c>
      <c r="D87" s="3">
        <v>30976</v>
      </c>
      <c r="E87" s="12">
        <v>549</v>
      </c>
      <c r="F87" s="12"/>
      <c r="G87" s="12"/>
      <c r="H87" s="12"/>
      <c r="I87" s="12"/>
      <c r="J87" s="10">
        <v>26.284722222222225</v>
      </c>
      <c r="K87" s="10">
        <v>-77.718611111111116</v>
      </c>
    </row>
    <row r="88" spans="1:15" x14ac:dyDescent="0.25">
      <c r="A88" t="s">
        <v>316</v>
      </c>
      <c r="B88" t="s">
        <v>84</v>
      </c>
      <c r="C88" t="s">
        <v>87</v>
      </c>
      <c r="D88" s="3">
        <v>40458</v>
      </c>
      <c r="E88" s="12">
        <v>1028.8592530000001</v>
      </c>
      <c r="F88" s="12">
        <v>3.766000032</v>
      </c>
      <c r="G88" s="12">
        <v>0.46000000800000002</v>
      </c>
      <c r="H88" s="12">
        <v>34.451000209999997</v>
      </c>
      <c r="I88" s="12">
        <v>87.760002139999997</v>
      </c>
      <c r="J88" s="10">
        <v>36.602091999999999</v>
      </c>
      <c r="K88" s="10">
        <v>-122.146658</v>
      </c>
    </row>
    <row r="89" spans="1:15" x14ac:dyDescent="0.25">
      <c r="A89" t="s">
        <v>317</v>
      </c>
      <c r="B89" t="s">
        <v>84</v>
      </c>
      <c r="C89" t="s">
        <v>10</v>
      </c>
      <c r="D89" s="3">
        <v>40880</v>
      </c>
      <c r="E89" s="12">
        <v>890.01202390000003</v>
      </c>
      <c r="F89" s="12">
        <v>4.2399997709999999</v>
      </c>
      <c r="G89" s="12">
        <v>0.312999994</v>
      </c>
      <c r="H89" s="12">
        <v>34.42599869</v>
      </c>
      <c r="I89" s="12">
        <v>87.75</v>
      </c>
      <c r="J89" s="10">
        <v>36.071322000000002</v>
      </c>
      <c r="K89" s="10">
        <v>-122.28216999999999</v>
      </c>
    </row>
    <row r="90" spans="1:15" x14ac:dyDescent="0.25">
      <c r="A90" t="s">
        <v>318</v>
      </c>
      <c r="B90" t="s">
        <v>84</v>
      </c>
      <c r="C90" t="s">
        <v>121</v>
      </c>
      <c r="D90" s="3">
        <v>40959</v>
      </c>
      <c r="E90" s="12">
        <v>1916.764404</v>
      </c>
      <c r="F90" s="12">
        <v>2.4100000860000002</v>
      </c>
      <c r="G90" s="12">
        <v>1.4889999629999999</v>
      </c>
      <c r="H90" s="12">
        <v>34.623001100000003</v>
      </c>
      <c r="I90" s="12">
        <v>87.22000122</v>
      </c>
      <c r="J90" s="10">
        <v>23.558454999999999</v>
      </c>
      <c r="K90" s="10">
        <v>-108.782713</v>
      </c>
    </row>
    <row r="91" spans="1:15" x14ac:dyDescent="0.25">
      <c r="A91" t="s">
        <v>319</v>
      </c>
      <c r="B91" t="s">
        <v>84</v>
      </c>
      <c r="C91" t="s">
        <v>88</v>
      </c>
      <c r="D91" s="3">
        <v>41598</v>
      </c>
      <c r="E91" s="12">
        <v>1008.212952</v>
      </c>
      <c r="F91" s="12">
        <v>3.885999918</v>
      </c>
      <c r="G91" s="12">
        <v>0.44900000099999998</v>
      </c>
      <c r="H91" s="12">
        <v>34.472999569999999</v>
      </c>
      <c r="I91" s="12">
        <v>79.290000919999997</v>
      </c>
      <c r="J91" s="10">
        <v>36.069391000000003</v>
      </c>
      <c r="K91" s="10">
        <v>-122.296881</v>
      </c>
      <c r="O91" s="6"/>
    </row>
    <row r="92" spans="1:15" x14ac:dyDescent="0.25">
      <c r="A92" t="s">
        <v>320</v>
      </c>
      <c r="B92" t="s">
        <v>84</v>
      </c>
      <c r="C92" t="s">
        <v>89</v>
      </c>
      <c r="D92" s="3">
        <v>41600</v>
      </c>
      <c r="E92" s="12">
        <v>1178.726318</v>
      </c>
      <c r="F92" s="12">
        <v>3.364000082</v>
      </c>
      <c r="G92" s="12">
        <v>0.66699999600000004</v>
      </c>
      <c r="H92" s="12">
        <v>34.511001589999999</v>
      </c>
      <c r="I92" s="12">
        <v>79.11000061</v>
      </c>
      <c r="J92" s="10">
        <v>36.069201</v>
      </c>
      <c r="K92" s="10">
        <v>-122.296548</v>
      </c>
      <c r="O92" t="s">
        <v>244</v>
      </c>
    </row>
    <row r="93" spans="1:15" x14ac:dyDescent="0.25">
      <c r="A93" t="s">
        <v>321</v>
      </c>
      <c r="B93" t="s">
        <v>84</v>
      </c>
      <c r="C93" t="s">
        <v>5</v>
      </c>
      <c r="D93" s="3">
        <v>41602</v>
      </c>
      <c r="E93" s="12">
        <v>1201.956177</v>
      </c>
      <c r="F93" s="12">
        <v>3.4349999430000002</v>
      </c>
      <c r="G93" s="12">
        <v>0.637000024</v>
      </c>
      <c r="H93" s="12">
        <v>34.506000520000001</v>
      </c>
      <c r="I93" s="12">
        <v>79.16999817</v>
      </c>
      <c r="J93" s="10">
        <v>36.387799000000001</v>
      </c>
      <c r="K93" s="10">
        <v>-122.668847</v>
      </c>
      <c r="O93" t="s">
        <v>244</v>
      </c>
    </row>
    <row r="94" spans="1:15" x14ac:dyDescent="0.25">
      <c r="A94" t="s">
        <v>322</v>
      </c>
      <c r="B94" t="s">
        <v>84</v>
      </c>
      <c r="C94" t="s">
        <v>107</v>
      </c>
      <c r="D94" s="3">
        <v>41779</v>
      </c>
      <c r="E94" s="12">
        <v>742.47528079999995</v>
      </c>
      <c r="F94" s="12">
        <v>4.8150000569999998</v>
      </c>
      <c r="G94" s="12">
        <v>0.22499999400000001</v>
      </c>
      <c r="H94" s="12">
        <v>34.361999509999997</v>
      </c>
      <c r="I94" s="12">
        <v>88.459999080000003</v>
      </c>
      <c r="J94" s="10">
        <v>35.50665</v>
      </c>
      <c r="K94" s="10">
        <v>-123.867346</v>
      </c>
    </row>
    <row r="95" spans="1:15" x14ac:dyDescent="0.25">
      <c r="A95" t="s">
        <v>323</v>
      </c>
      <c r="B95" t="s">
        <v>84</v>
      </c>
      <c r="C95" t="s">
        <v>1</v>
      </c>
      <c r="D95" s="3">
        <v>41901</v>
      </c>
      <c r="E95" s="12">
        <v>977.25708010000005</v>
      </c>
      <c r="F95" s="12">
        <v>3.7369999890000001</v>
      </c>
      <c r="G95" s="12">
        <v>0.42199999100000002</v>
      </c>
      <c r="H95" s="12">
        <v>34.466999049999998</v>
      </c>
      <c r="I95" s="12">
        <v>88.680000309999997</v>
      </c>
      <c r="J95" s="10">
        <v>36.117128000000001</v>
      </c>
      <c r="K95" s="10">
        <v>-123.550337</v>
      </c>
      <c r="O95" t="s">
        <v>244</v>
      </c>
    </row>
    <row r="96" spans="1:15" x14ac:dyDescent="0.25">
      <c r="A96" t="s">
        <v>324</v>
      </c>
      <c r="B96" t="s">
        <v>84</v>
      </c>
      <c r="C96" t="s">
        <v>95</v>
      </c>
      <c r="D96" s="3">
        <v>38129</v>
      </c>
      <c r="E96" s="12">
        <v>1217</v>
      </c>
      <c r="F96" s="12"/>
      <c r="G96" s="12"/>
      <c r="H96" s="12"/>
      <c r="I96" s="12"/>
      <c r="J96" s="10">
        <v>35.920833333333334</v>
      </c>
      <c r="K96" s="10">
        <v>-122.94138888888889</v>
      </c>
      <c r="M96" t="s">
        <v>244</v>
      </c>
    </row>
    <row r="97" spans="1:12" x14ac:dyDescent="0.25">
      <c r="A97" t="s">
        <v>325</v>
      </c>
      <c r="B97" t="s">
        <v>84</v>
      </c>
      <c r="C97" t="s">
        <v>8</v>
      </c>
      <c r="D97" s="3">
        <v>38134</v>
      </c>
      <c r="E97" s="12">
        <v>1131.9149170000001</v>
      </c>
      <c r="F97" s="12">
        <v>3.505000114</v>
      </c>
      <c r="G97" s="12">
        <v>0.670000017</v>
      </c>
      <c r="H97" s="12">
        <v>34.40499878</v>
      </c>
      <c r="I97" s="12">
        <v>85.559997559999999</v>
      </c>
      <c r="J97" s="10">
        <v>36.566699</v>
      </c>
      <c r="K97" s="10">
        <v>-122.52185</v>
      </c>
    </row>
    <row r="98" spans="1:12" x14ac:dyDescent="0.25">
      <c r="A98" t="s">
        <v>326</v>
      </c>
      <c r="B98" t="s">
        <v>84</v>
      </c>
      <c r="C98" t="s">
        <v>96</v>
      </c>
      <c r="D98" s="3">
        <v>38264</v>
      </c>
      <c r="E98" s="12">
        <v>1299</v>
      </c>
      <c r="F98" s="12"/>
      <c r="G98" s="12"/>
      <c r="H98" s="12"/>
      <c r="I98" s="12"/>
      <c r="J98" s="10">
        <v>35.233333333333334</v>
      </c>
      <c r="K98" s="10">
        <v>-122.50166666666667</v>
      </c>
    </row>
    <row r="99" spans="1:12" x14ac:dyDescent="0.25">
      <c r="A99" t="s">
        <v>396</v>
      </c>
      <c r="B99" t="s">
        <v>84</v>
      </c>
      <c r="C99" t="s">
        <v>97</v>
      </c>
      <c r="D99" s="3">
        <v>38266</v>
      </c>
      <c r="E99" s="12">
        <v>1177</v>
      </c>
      <c r="F99" s="12"/>
      <c r="G99" s="12"/>
      <c r="H99" s="12"/>
      <c r="I99" s="12"/>
      <c r="J99" s="10">
        <f>35+29/60+81/3600</f>
        <v>35.505833333333335</v>
      </c>
      <c r="K99" s="10">
        <f>-(123+52/60+1/3600)</f>
        <v>-123.86694444444444</v>
      </c>
    </row>
    <row r="100" spans="1:12" x14ac:dyDescent="0.25">
      <c r="A100" t="s">
        <v>327</v>
      </c>
      <c r="B100" t="s">
        <v>84</v>
      </c>
      <c r="C100" t="s">
        <v>129</v>
      </c>
      <c r="D100" s="3">
        <v>42198</v>
      </c>
      <c r="E100" s="12">
        <v>888.74499509999998</v>
      </c>
      <c r="F100" s="12">
        <v>4.3860001559999997</v>
      </c>
      <c r="G100" s="12">
        <v>0.331999987</v>
      </c>
      <c r="H100" s="12">
        <v>34.411998750000002</v>
      </c>
      <c r="I100" s="12">
        <v>86.900001529999997</v>
      </c>
      <c r="J100" s="10">
        <v>36.599800000000002</v>
      </c>
      <c r="K100" s="10">
        <v>-122.149886</v>
      </c>
    </row>
    <row r="101" spans="1:12" x14ac:dyDescent="0.25">
      <c r="A101" t="s">
        <v>328</v>
      </c>
      <c r="B101" t="s">
        <v>84</v>
      </c>
      <c r="C101" t="s">
        <v>122</v>
      </c>
      <c r="D101" s="3">
        <v>34962</v>
      </c>
      <c r="E101" s="12">
        <v>838</v>
      </c>
      <c r="F101" s="12"/>
      <c r="G101" s="14"/>
      <c r="H101" s="14"/>
      <c r="I101" s="12"/>
      <c r="J101" s="13">
        <f>27+3/60+1/3600</f>
        <v>27.050277777777779</v>
      </c>
      <c r="K101" s="13">
        <v>-85.018611111111113</v>
      </c>
      <c r="L101" s="13"/>
    </row>
    <row r="102" spans="1:12" x14ac:dyDescent="0.25">
      <c r="A102" s="5" t="s">
        <v>385</v>
      </c>
      <c r="B102" t="s">
        <v>14</v>
      </c>
      <c r="C102" t="s">
        <v>224</v>
      </c>
      <c r="D102" s="3">
        <v>30977</v>
      </c>
      <c r="E102" s="12">
        <v>701</v>
      </c>
      <c r="F102" s="12"/>
      <c r="G102" s="12"/>
      <c r="H102" s="12"/>
      <c r="I102" s="12"/>
      <c r="J102" s="10">
        <v>26.134722222222223</v>
      </c>
      <c r="K102" s="10">
        <v>-77.616944444444442</v>
      </c>
    </row>
    <row r="103" spans="1:12" x14ac:dyDescent="0.25">
      <c r="A103" t="s">
        <v>329</v>
      </c>
      <c r="B103" t="s">
        <v>84</v>
      </c>
      <c r="C103" t="s">
        <v>90</v>
      </c>
      <c r="D103" s="3">
        <v>42895</v>
      </c>
      <c r="E103" s="12">
        <v>954.90295409999999</v>
      </c>
      <c r="F103" s="12">
        <v>3.8680000309999998</v>
      </c>
      <c r="G103" s="12">
        <v>0.372999996</v>
      </c>
      <c r="H103" s="12">
        <v>34.45500183</v>
      </c>
      <c r="I103" s="12">
        <v>79.61000061</v>
      </c>
      <c r="J103" s="10">
        <v>35.933188000000001</v>
      </c>
      <c r="K103" s="10">
        <v>-122.926666</v>
      </c>
    </row>
    <row r="104" spans="1:12" x14ac:dyDescent="0.25">
      <c r="A104" t="s">
        <v>330</v>
      </c>
      <c r="B104" t="s">
        <v>84</v>
      </c>
      <c r="C104" t="s">
        <v>124</v>
      </c>
      <c r="D104" s="3">
        <v>43226</v>
      </c>
      <c r="E104" s="12">
        <v>964.66119379999998</v>
      </c>
      <c r="F104" s="12">
        <v>4.0399999619999996</v>
      </c>
      <c r="G104" s="12">
        <v>0.37000000500000002</v>
      </c>
      <c r="H104" s="12">
        <v>34.444999690000003</v>
      </c>
      <c r="I104" s="12"/>
      <c r="J104" s="10">
        <v>36.216183999999998</v>
      </c>
      <c r="K104" s="10">
        <v>-122.532096</v>
      </c>
    </row>
    <row r="105" spans="1:12" x14ac:dyDescent="0.25">
      <c r="A105" t="s">
        <v>331</v>
      </c>
      <c r="B105" t="s">
        <v>84</v>
      </c>
      <c r="C105" t="s">
        <v>7</v>
      </c>
      <c r="D105" s="3">
        <v>38994</v>
      </c>
      <c r="E105" s="12">
        <v>1257.714111</v>
      </c>
      <c r="F105" s="12">
        <v>3.4619998930000002</v>
      </c>
      <c r="G105" s="12">
        <v>0.50999998999999996</v>
      </c>
      <c r="H105" s="12">
        <v>34.437999730000001</v>
      </c>
      <c r="I105" s="12">
        <v>85.040000919999997</v>
      </c>
      <c r="J105" s="10">
        <v>36.700809999999997</v>
      </c>
      <c r="K105" s="10">
        <v>-122.57498699999999</v>
      </c>
    </row>
    <row r="106" spans="1:12" x14ac:dyDescent="0.25">
      <c r="A106" t="s">
        <v>332</v>
      </c>
      <c r="B106" t="s">
        <v>84</v>
      </c>
      <c r="C106" t="s">
        <v>120</v>
      </c>
      <c r="D106" s="3">
        <v>39295</v>
      </c>
      <c r="E106" s="12">
        <v>2058.0710450000001</v>
      </c>
      <c r="F106" s="12">
        <v>2.055999994</v>
      </c>
      <c r="G106" s="12">
        <v>1.6000000240000001</v>
      </c>
      <c r="H106" s="12">
        <v>34.409000399999996</v>
      </c>
      <c r="I106" s="12">
        <v>88.839996339999999</v>
      </c>
      <c r="J106" s="10">
        <v>36.380305999999997</v>
      </c>
      <c r="K106" s="10">
        <v>-122.667417</v>
      </c>
    </row>
    <row r="107" spans="1:12" x14ac:dyDescent="0.25">
      <c r="A107" t="s">
        <v>85</v>
      </c>
      <c r="B107" t="s">
        <v>84</v>
      </c>
      <c r="C107" t="s">
        <v>86</v>
      </c>
      <c r="D107" s="3">
        <v>43657</v>
      </c>
      <c r="E107" s="12">
        <v>740.7</v>
      </c>
      <c r="F107" s="12">
        <v>4.9489999999999998</v>
      </c>
      <c r="G107" s="12">
        <v>0.30499999999999999</v>
      </c>
      <c r="H107" s="12">
        <v>34.356000000000002</v>
      </c>
      <c r="I107" s="12">
        <v>84.51</v>
      </c>
      <c r="J107" s="10">
        <v>36.411644000000003</v>
      </c>
      <c r="K107" s="10">
        <v>-122.29404599999999</v>
      </c>
    </row>
    <row r="108" spans="1:12" x14ac:dyDescent="0.25">
      <c r="A108" t="s">
        <v>333</v>
      </c>
      <c r="B108" t="s">
        <v>84</v>
      </c>
      <c r="C108" t="s">
        <v>152</v>
      </c>
      <c r="D108" s="3">
        <v>43657</v>
      </c>
      <c r="E108" s="12">
        <v>752.08001709999996</v>
      </c>
      <c r="F108" s="12">
        <v>4.5689997670000002</v>
      </c>
      <c r="G108" s="12">
        <v>0.27200001499999998</v>
      </c>
      <c r="H108" s="12">
        <v>34.36000061</v>
      </c>
      <c r="I108" s="12">
        <v>84.819999690000003</v>
      </c>
      <c r="J108" s="10">
        <v>36.181668999999999</v>
      </c>
      <c r="K108" s="10">
        <v>-123.22112799999999</v>
      </c>
    </row>
    <row r="109" spans="1:12" x14ac:dyDescent="0.25">
      <c r="A109" t="s">
        <v>91</v>
      </c>
      <c r="B109" t="s">
        <v>84</v>
      </c>
      <c r="C109" t="s">
        <v>92</v>
      </c>
      <c r="D109" s="3">
        <v>43858</v>
      </c>
      <c r="E109" s="12">
        <v>1025.51001</v>
      </c>
      <c r="F109" s="12">
        <v>3.9449999330000001</v>
      </c>
      <c r="G109" s="12">
        <v>0.469999999</v>
      </c>
      <c r="H109" s="12">
        <v>34.44900131</v>
      </c>
      <c r="I109" s="12">
        <v>81.550003050000001</v>
      </c>
      <c r="J109" s="10">
        <v>36.570577</v>
      </c>
      <c r="K109" s="10">
        <v>-122.250259</v>
      </c>
    </row>
    <row r="110" spans="1:12" x14ac:dyDescent="0.25">
      <c r="A110" t="s">
        <v>93</v>
      </c>
      <c r="B110" t="s">
        <v>84</v>
      </c>
      <c r="C110" t="s">
        <v>94</v>
      </c>
      <c r="D110" s="3">
        <v>43860</v>
      </c>
      <c r="E110" s="12">
        <v>1118.410034</v>
      </c>
      <c r="F110" s="12">
        <v>4.3109998699999998</v>
      </c>
      <c r="G110" s="12">
        <v>0.282000005</v>
      </c>
      <c r="H110" s="12">
        <v>34.458000179999999</v>
      </c>
      <c r="I110" s="12">
        <v>81.83000183</v>
      </c>
      <c r="J110" s="10">
        <v>33.850603999999997</v>
      </c>
      <c r="K110" s="10">
        <v>-119.64972</v>
      </c>
    </row>
    <row r="111" spans="1:12" x14ac:dyDescent="0.25">
      <c r="A111" t="s">
        <v>334</v>
      </c>
      <c r="B111" t="s">
        <v>84</v>
      </c>
      <c r="C111" t="s">
        <v>105</v>
      </c>
      <c r="D111" s="3">
        <v>44498</v>
      </c>
      <c r="E111" s="12">
        <v>1289.6800539999999</v>
      </c>
      <c r="F111" s="12">
        <v>3.233999968</v>
      </c>
      <c r="G111" s="12">
        <v>0.70599997000000003</v>
      </c>
      <c r="H111" s="12">
        <v>34.506000520000001</v>
      </c>
      <c r="I111" s="12">
        <v>92.180000309999997</v>
      </c>
      <c r="J111" s="10">
        <v>36.225002000000003</v>
      </c>
      <c r="K111" s="10">
        <v>-123.14236200000001</v>
      </c>
    </row>
    <row r="112" spans="1:12" x14ac:dyDescent="0.25">
      <c r="A112" t="s">
        <v>335</v>
      </c>
      <c r="B112" t="s">
        <v>84</v>
      </c>
      <c r="C112" t="s">
        <v>147</v>
      </c>
      <c r="D112" s="3">
        <v>41904</v>
      </c>
      <c r="E112" s="12">
        <v>690.96698000000004</v>
      </c>
      <c r="F112" s="12">
        <v>4.7350001339999999</v>
      </c>
      <c r="G112" s="12">
        <v>0.222000003</v>
      </c>
      <c r="H112" s="12">
        <v>34.273998259999999</v>
      </c>
      <c r="I112" s="12">
        <v>88.599998470000003</v>
      </c>
      <c r="J112" s="10">
        <v>36.583269999999999</v>
      </c>
      <c r="K112" s="10">
        <v>-122.500621</v>
      </c>
    </row>
    <row r="113" spans="1:15" x14ac:dyDescent="0.25">
      <c r="A113" t="s">
        <v>336</v>
      </c>
      <c r="B113" t="s">
        <v>245</v>
      </c>
      <c r="C113" t="s">
        <v>115</v>
      </c>
      <c r="D113" s="3">
        <v>42074</v>
      </c>
      <c r="E113" s="12">
        <v>1102.727539</v>
      </c>
      <c r="F113" s="12">
        <v>3.835000038</v>
      </c>
      <c r="G113" s="12">
        <v>0.42500001199999998</v>
      </c>
      <c r="H113" s="12">
        <v>34.555999759999999</v>
      </c>
      <c r="I113" s="12">
        <v>88.940002440000001</v>
      </c>
      <c r="J113" s="10">
        <v>23.612041000000001</v>
      </c>
      <c r="K113" s="10">
        <v>-108.764537</v>
      </c>
      <c r="N113" t="s">
        <v>244</v>
      </c>
      <c r="O113" t="s">
        <v>244</v>
      </c>
    </row>
    <row r="114" spans="1:15" x14ac:dyDescent="0.25">
      <c r="A114" t="s">
        <v>337</v>
      </c>
      <c r="B114" t="s">
        <v>245</v>
      </c>
      <c r="C114" t="s">
        <v>131</v>
      </c>
      <c r="D114" s="3">
        <v>38269</v>
      </c>
      <c r="E114" s="12">
        <v>1233</v>
      </c>
      <c r="F114" s="12">
        <v>3.2869999999999999</v>
      </c>
      <c r="G114" s="12">
        <v>0.67</v>
      </c>
      <c r="H114" s="12">
        <v>34.387999999999998</v>
      </c>
      <c r="I114" s="12">
        <v>84.78</v>
      </c>
      <c r="J114" s="13">
        <v>36.26126</v>
      </c>
      <c r="K114" s="10">
        <v>-122.593549</v>
      </c>
      <c r="L114" s="10" t="s">
        <v>258</v>
      </c>
    </row>
    <row r="115" spans="1:15" x14ac:dyDescent="0.25">
      <c r="A115" t="s">
        <v>338</v>
      </c>
      <c r="B115" t="s">
        <v>245</v>
      </c>
      <c r="C115" t="s">
        <v>100</v>
      </c>
      <c r="D115" s="3">
        <v>43547</v>
      </c>
      <c r="E115" s="12">
        <v>1436.9799800000001</v>
      </c>
      <c r="F115" s="12">
        <v>2.8840000629999998</v>
      </c>
      <c r="G115" s="12">
        <v>0.902999997</v>
      </c>
      <c r="H115" s="12">
        <v>34.527000430000001</v>
      </c>
      <c r="I115" s="12">
        <v>85</v>
      </c>
      <c r="J115" s="10">
        <v>36.394578000000003</v>
      </c>
      <c r="K115" s="10">
        <v>-122.673834</v>
      </c>
    </row>
    <row r="116" spans="1:15" x14ac:dyDescent="0.25">
      <c r="A116" s="5" t="s">
        <v>386</v>
      </c>
      <c r="B116" t="s">
        <v>14</v>
      </c>
      <c r="C116" t="s">
        <v>225</v>
      </c>
      <c r="D116" s="3">
        <v>30981</v>
      </c>
      <c r="E116" s="12">
        <v>518</v>
      </c>
      <c r="F116" s="12"/>
      <c r="G116" s="12"/>
      <c r="H116" s="12"/>
      <c r="I116" s="12"/>
      <c r="J116" s="10">
        <v>25.050277777777779</v>
      </c>
      <c r="K116" s="10">
        <v>-77.518611111111113</v>
      </c>
    </row>
    <row r="117" spans="1:15" x14ac:dyDescent="0.25">
      <c r="A117" t="s">
        <v>339</v>
      </c>
      <c r="B117" t="s">
        <v>98</v>
      </c>
      <c r="C117" t="s">
        <v>11</v>
      </c>
      <c r="D117" s="3">
        <v>37336</v>
      </c>
      <c r="E117" s="12">
        <v>3425</v>
      </c>
      <c r="F117" s="12"/>
      <c r="G117" s="12"/>
      <c r="H117" s="12"/>
      <c r="I117" s="12"/>
      <c r="J117" s="10">
        <v>20.366666666666667</v>
      </c>
      <c r="K117" s="10">
        <v>-122.90166666666667</v>
      </c>
    </row>
    <row r="118" spans="1:15" x14ac:dyDescent="0.25">
      <c r="A118" t="s">
        <v>340</v>
      </c>
      <c r="B118" t="s">
        <v>98</v>
      </c>
      <c r="C118" t="s">
        <v>123</v>
      </c>
      <c r="D118" s="3">
        <v>41601</v>
      </c>
      <c r="E118" s="12">
        <v>3095.455078</v>
      </c>
      <c r="F118" s="12">
        <v>1.608999968</v>
      </c>
      <c r="G118" s="12">
        <v>2.52699995</v>
      </c>
      <c r="H118" s="12">
        <v>34.665000919999997</v>
      </c>
      <c r="I118" s="12">
        <v>79.190002440000001</v>
      </c>
      <c r="J118" s="10">
        <v>36.381793000000002</v>
      </c>
      <c r="K118" s="10">
        <v>-122.666923</v>
      </c>
    </row>
    <row r="119" spans="1:15" x14ac:dyDescent="0.25">
      <c r="A119" t="s">
        <v>341</v>
      </c>
      <c r="B119" t="s">
        <v>98</v>
      </c>
      <c r="C119" t="s">
        <v>150</v>
      </c>
      <c r="D119" s="3">
        <v>42533</v>
      </c>
      <c r="E119" s="12">
        <v>3497.4409179999998</v>
      </c>
      <c r="F119" s="12">
        <v>1.5729999539999999</v>
      </c>
      <c r="G119" s="12">
        <v>2.5950000289999999</v>
      </c>
      <c r="H119" s="12">
        <v>34.674999239999998</v>
      </c>
      <c r="I119" s="12">
        <v>85.980003359999998</v>
      </c>
      <c r="J119" s="10">
        <v>35.930666000000002</v>
      </c>
      <c r="K119" s="10">
        <v>-122.932981</v>
      </c>
    </row>
    <row r="120" spans="1:15" x14ac:dyDescent="0.25">
      <c r="A120" t="s">
        <v>342</v>
      </c>
      <c r="B120" t="s">
        <v>98</v>
      </c>
      <c r="C120" t="s">
        <v>119</v>
      </c>
      <c r="D120" s="3">
        <v>42895</v>
      </c>
      <c r="E120" s="12">
        <v>3190.8803710000002</v>
      </c>
      <c r="F120" s="12">
        <v>1.5859999659999999</v>
      </c>
      <c r="G120" s="12">
        <v>2.4349999430000002</v>
      </c>
      <c r="H120" s="12">
        <v>34.66999817</v>
      </c>
      <c r="I120" s="12">
        <v>80.050003050000001</v>
      </c>
      <c r="J120" s="10">
        <v>35.496456000000002</v>
      </c>
      <c r="K120" s="10">
        <v>-123.99824</v>
      </c>
    </row>
    <row r="121" spans="1:15" x14ac:dyDescent="0.25">
      <c r="A121" t="s">
        <v>343</v>
      </c>
      <c r="B121" t="s">
        <v>98</v>
      </c>
      <c r="C121" t="s">
        <v>118</v>
      </c>
      <c r="D121" s="3">
        <v>42896</v>
      </c>
      <c r="E121" s="12">
        <v>3605.26001</v>
      </c>
      <c r="F121" s="12">
        <v>1.531999946</v>
      </c>
      <c r="G121" s="12">
        <v>2.6129999160000001</v>
      </c>
      <c r="H121" s="12">
        <v>34.680999759999999</v>
      </c>
      <c r="I121" s="12">
        <v>79.650001529999997</v>
      </c>
      <c r="J121" s="10">
        <v>35.498553999999999</v>
      </c>
      <c r="K121" s="10">
        <v>-123.998791</v>
      </c>
      <c r="M121" t="s">
        <v>244</v>
      </c>
      <c r="N121" t="s">
        <v>244</v>
      </c>
    </row>
    <row r="122" spans="1:15" x14ac:dyDescent="0.25">
      <c r="A122" t="s">
        <v>344</v>
      </c>
      <c r="B122" t="s">
        <v>98</v>
      </c>
      <c r="C122" t="s">
        <v>125</v>
      </c>
      <c r="D122" s="3">
        <v>43223</v>
      </c>
      <c r="E122" s="12">
        <v>3265.8481449999999</v>
      </c>
      <c r="F122" s="12">
        <v>1.5809999699999999</v>
      </c>
      <c r="G122" s="12">
        <v>2.5139999390000001</v>
      </c>
      <c r="H122" s="12">
        <v>34.661998750000002</v>
      </c>
      <c r="I122" s="12"/>
      <c r="J122" s="10">
        <v>35.499791999999999</v>
      </c>
      <c r="K122" s="10">
        <v>-124.000967</v>
      </c>
      <c r="O122" t="s">
        <v>244</v>
      </c>
    </row>
    <row r="123" spans="1:15" x14ac:dyDescent="0.25">
      <c r="A123" t="s">
        <v>101</v>
      </c>
      <c r="B123" t="s">
        <v>98</v>
      </c>
      <c r="C123" t="s">
        <v>102</v>
      </c>
      <c r="D123" s="3">
        <v>43658</v>
      </c>
      <c r="E123" s="12">
        <v>3647.469971</v>
      </c>
      <c r="F123" s="12">
        <v>1.541000009</v>
      </c>
      <c r="G123" s="12">
        <v>2.7179999349999999</v>
      </c>
      <c r="H123" s="12">
        <v>34.665000919999997</v>
      </c>
      <c r="I123" s="12">
        <v>84.839996339999999</v>
      </c>
      <c r="J123" s="10">
        <v>35.500182000000002</v>
      </c>
      <c r="K123" s="10">
        <v>-124.00063299999999</v>
      </c>
    </row>
    <row r="124" spans="1:15" x14ac:dyDescent="0.25">
      <c r="A124" t="s">
        <v>345</v>
      </c>
      <c r="B124" t="s">
        <v>98</v>
      </c>
      <c r="C124" t="s">
        <v>103</v>
      </c>
      <c r="D124" s="3">
        <v>43660</v>
      </c>
      <c r="E124" s="12">
        <v>3839.4799800000001</v>
      </c>
      <c r="F124" s="12">
        <v>1.5149999860000001</v>
      </c>
      <c r="G124" s="12">
        <v>2.8110001090000001</v>
      </c>
      <c r="H124" s="12">
        <v>34.673000340000002</v>
      </c>
      <c r="I124" s="12">
        <v>84.800003050000001</v>
      </c>
      <c r="J124" s="10">
        <v>35.500165000000003</v>
      </c>
      <c r="K124" s="10">
        <v>-123.99984499999999</v>
      </c>
    </row>
    <row r="125" spans="1:15" x14ac:dyDescent="0.25">
      <c r="A125" s="5" t="s">
        <v>387</v>
      </c>
      <c r="B125" t="s">
        <v>14</v>
      </c>
      <c r="C125" t="s">
        <v>226</v>
      </c>
      <c r="D125" s="3">
        <v>30984</v>
      </c>
      <c r="E125" s="12">
        <v>664</v>
      </c>
      <c r="F125" s="12"/>
      <c r="G125" s="12"/>
      <c r="H125" s="12"/>
      <c r="I125" s="12"/>
      <c r="J125" s="10">
        <v>25.81861111111111</v>
      </c>
      <c r="K125" s="10">
        <v>-77.684444444444452</v>
      </c>
    </row>
    <row r="126" spans="1:15" x14ac:dyDescent="0.25">
      <c r="A126" t="s">
        <v>346</v>
      </c>
      <c r="B126" t="s">
        <v>246</v>
      </c>
      <c r="C126" t="s">
        <v>16</v>
      </c>
      <c r="D126" s="3">
        <v>37968</v>
      </c>
      <c r="E126" s="12">
        <v>2194.9697270000001</v>
      </c>
      <c r="F126" s="12">
        <v>1.9190000300000001</v>
      </c>
      <c r="G126" s="12">
        <v>1.8849999900000001</v>
      </c>
      <c r="H126" s="12">
        <v>34.541000369999999</v>
      </c>
      <c r="I126" s="12">
        <v>89.629997250000002</v>
      </c>
      <c r="J126" s="10">
        <v>36.067183999999997</v>
      </c>
      <c r="K126" s="10">
        <v>-122.297196</v>
      </c>
    </row>
    <row r="127" spans="1:15" x14ac:dyDescent="0.25">
      <c r="A127" t="s">
        <v>347</v>
      </c>
      <c r="B127" t="s">
        <v>246</v>
      </c>
      <c r="C127" t="s">
        <v>9</v>
      </c>
      <c r="D127" s="3">
        <v>40463</v>
      </c>
      <c r="E127" s="12">
        <v>1236.688232</v>
      </c>
      <c r="F127" s="12">
        <v>3.3599998950000001</v>
      </c>
      <c r="G127" s="12">
        <v>0.680999994</v>
      </c>
      <c r="H127" s="12">
        <v>34.490001679999999</v>
      </c>
      <c r="I127" s="12">
        <v>86.150001529999997</v>
      </c>
      <c r="J127" s="10">
        <v>36.699961999999999</v>
      </c>
      <c r="K127" s="10">
        <v>-122.09975900000001</v>
      </c>
    </row>
    <row r="128" spans="1:15" x14ac:dyDescent="0.25">
      <c r="A128" t="s">
        <v>348</v>
      </c>
      <c r="B128" t="s">
        <v>246</v>
      </c>
      <c r="C128" t="s">
        <v>130</v>
      </c>
      <c r="D128" s="3">
        <v>40962</v>
      </c>
      <c r="E128" s="12">
        <v>1823.224365</v>
      </c>
      <c r="F128" s="12">
        <v>2.5039999489999998</v>
      </c>
      <c r="G128" s="12">
        <v>1.251000047</v>
      </c>
      <c r="H128" s="12">
        <v>34.620998380000003</v>
      </c>
      <c r="I128" s="12">
        <v>87.209999080000003</v>
      </c>
      <c r="J128" s="10">
        <v>25.451418</v>
      </c>
      <c r="K128" s="10">
        <v>-109.847328</v>
      </c>
    </row>
    <row r="129" spans="1:15" x14ac:dyDescent="0.25">
      <c r="A129" t="s">
        <v>261</v>
      </c>
      <c r="B129" t="s">
        <v>246</v>
      </c>
      <c r="C129" t="s">
        <v>46</v>
      </c>
      <c r="D129" s="3">
        <v>37338</v>
      </c>
      <c r="E129" s="12">
        <v>984.81195070000001</v>
      </c>
      <c r="F129" s="12">
        <v>3.9079999920000001</v>
      </c>
      <c r="G129" s="12">
        <v>0.33000001299999998</v>
      </c>
      <c r="H129" s="12">
        <v>34.161998750000002</v>
      </c>
      <c r="I129" s="12">
        <v>83.949996949999999</v>
      </c>
      <c r="J129" s="10">
        <v>36.722420999999997</v>
      </c>
      <c r="K129" s="10">
        <v>-122.064347</v>
      </c>
      <c r="N129" t="s">
        <v>244</v>
      </c>
    </row>
    <row r="130" spans="1:15" x14ac:dyDescent="0.25">
      <c r="A130" t="s">
        <v>349</v>
      </c>
      <c r="B130" t="s">
        <v>246</v>
      </c>
      <c r="C130" t="s">
        <v>78</v>
      </c>
      <c r="D130" s="3">
        <v>37338</v>
      </c>
      <c r="E130" s="12">
        <v>996</v>
      </c>
      <c r="F130" s="12"/>
      <c r="G130" s="12"/>
      <c r="H130" s="12"/>
      <c r="I130" s="12"/>
      <c r="J130" s="10">
        <v>36.725833333333334</v>
      </c>
      <c r="K130" s="10">
        <v>-122.07444444444444</v>
      </c>
      <c r="L130" s="10" t="s">
        <v>257</v>
      </c>
      <c r="M130" t="s">
        <v>244</v>
      </c>
    </row>
    <row r="131" spans="1:15" x14ac:dyDescent="0.25">
      <c r="A131" s="5" t="s">
        <v>388</v>
      </c>
      <c r="B131" t="s">
        <v>14</v>
      </c>
      <c r="C131" t="s">
        <v>227</v>
      </c>
      <c r="D131" s="3">
        <v>30984</v>
      </c>
      <c r="E131" s="12">
        <v>654</v>
      </c>
      <c r="F131" s="12"/>
      <c r="G131" s="12"/>
      <c r="H131" s="12"/>
      <c r="I131" s="12"/>
      <c r="J131" s="10">
        <v>25.385277777777777</v>
      </c>
      <c r="K131" s="10">
        <v>-77.951666666666668</v>
      </c>
    </row>
    <row r="132" spans="1:15" x14ac:dyDescent="0.25">
      <c r="A132" s="5" t="s">
        <v>389</v>
      </c>
      <c r="B132" t="s">
        <v>14</v>
      </c>
      <c r="C132" t="s">
        <v>228</v>
      </c>
      <c r="D132" s="3">
        <v>30985</v>
      </c>
      <c r="E132" s="12">
        <v>549</v>
      </c>
      <c r="F132" s="12"/>
      <c r="G132" s="12"/>
      <c r="H132" s="12"/>
      <c r="I132" s="12"/>
      <c r="J132" s="10">
        <v>25.366666666666667</v>
      </c>
      <c r="K132" s="10">
        <v>-77.851666666666659</v>
      </c>
    </row>
    <row r="133" spans="1:15" x14ac:dyDescent="0.25">
      <c r="A133" t="s">
        <v>350</v>
      </c>
      <c r="B133" t="s">
        <v>246</v>
      </c>
      <c r="C133" t="s">
        <v>18</v>
      </c>
      <c r="D133" s="3">
        <v>41777</v>
      </c>
      <c r="E133" s="12">
        <v>2270.5427249999998</v>
      </c>
      <c r="F133" s="12">
        <v>1.894999981</v>
      </c>
      <c r="G133" s="12">
        <v>1.8839999439999999</v>
      </c>
      <c r="H133" s="12">
        <v>34.618999479999999</v>
      </c>
      <c r="I133" s="12">
        <v>88.559997559999999</v>
      </c>
      <c r="J133" s="10">
        <v>35.836908999999999</v>
      </c>
      <c r="K133" s="10">
        <v>-122.66744300000001</v>
      </c>
      <c r="L133" s="10" t="s">
        <v>258</v>
      </c>
      <c r="N133" t="s">
        <v>244</v>
      </c>
      <c r="O133" t="s">
        <v>244</v>
      </c>
    </row>
    <row r="134" spans="1:15" x14ac:dyDescent="0.25">
      <c r="A134" t="s">
        <v>351</v>
      </c>
      <c r="B134" t="s">
        <v>246</v>
      </c>
      <c r="C134" t="s">
        <v>112</v>
      </c>
      <c r="D134" s="3">
        <v>42071</v>
      </c>
      <c r="E134" s="12">
        <v>1811.720703</v>
      </c>
      <c r="F134" s="12">
        <v>2.4010000229999999</v>
      </c>
      <c r="G134" s="12">
        <v>1.3420000080000001</v>
      </c>
      <c r="H134" s="12">
        <v>34.629001619999997</v>
      </c>
      <c r="I134" s="12">
        <v>87.800003050000001</v>
      </c>
      <c r="J134" s="10">
        <v>25.450087</v>
      </c>
      <c r="K134" s="10">
        <v>-109.843301</v>
      </c>
    </row>
    <row r="135" spans="1:15" x14ac:dyDescent="0.25">
      <c r="A135" t="s">
        <v>352</v>
      </c>
      <c r="B135" t="s">
        <v>246</v>
      </c>
      <c r="C135" t="s">
        <v>126</v>
      </c>
      <c r="D135" s="3">
        <v>42072</v>
      </c>
      <c r="E135" s="12">
        <v>1778.0230710000001</v>
      </c>
      <c r="F135" s="12">
        <v>2.4979999070000001</v>
      </c>
      <c r="G135" s="12">
        <v>1.2630000109999999</v>
      </c>
      <c r="H135" s="12">
        <v>34.624000549999998</v>
      </c>
      <c r="I135" s="12">
        <v>88.660003660000001</v>
      </c>
      <c r="J135" s="10">
        <v>25.451518</v>
      </c>
      <c r="K135" s="10">
        <v>-109.842804</v>
      </c>
      <c r="O135" t="s">
        <v>244</v>
      </c>
    </row>
    <row r="136" spans="1:15" x14ac:dyDescent="0.25">
      <c r="A136" s="5" t="s">
        <v>390</v>
      </c>
      <c r="B136" t="s">
        <v>14</v>
      </c>
      <c r="C136" t="s">
        <v>229</v>
      </c>
      <c r="D136" s="3">
        <v>30986</v>
      </c>
      <c r="E136" s="12">
        <v>577</v>
      </c>
      <c r="F136" s="12"/>
      <c r="G136" s="12"/>
      <c r="H136" s="12"/>
      <c r="I136" s="12"/>
      <c r="J136" s="10">
        <v>25.368611111111111</v>
      </c>
      <c r="K136" s="10">
        <v>-77.901388888888889</v>
      </c>
    </row>
    <row r="137" spans="1:15" x14ac:dyDescent="0.25">
      <c r="A137" t="s">
        <v>353</v>
      </c>
      <c r="B137" t="s">
        <v>246</v>
      </c>
      <c r="C137" t="s">
        <v>19</v>
      </c>
      <c r="D137" s="3">
        <v>42898</v>
      </c>
      <c r="E137" s="12">
        <v>1393.846313</v>
      </c>
      <c r="F137" s="12">
        <v>2.9739999770000001</v>
      </c>
      <c r="G137" s="12">
        <v>0.80699998100000003</v>
      </c>
      <c r="H137" s="12">
        <v>34.536998750000002</v>
      </c>
      <c r="I137" s="12">
        <v>78.349998470000003</v>
      </c>
      <c r="J137" s="10">
        <v>36.599708</v>
      </c>
      <c r="K137" s="10">
        <v>-122.149466</v>
      </c>
    </row>
    <row r="138" spans="1:15" x14ac:dyDescent="0.25">
      <c r="A138" t="s">
        <v>395</v>
      </c>
      <c r="B138" t="s">
        <v>47</v>
      </c>
      <c r="C138" s="19" t="s">
        <v>132</v>
      </c>
      <c r="D138" s="3">
        <v>43411</v>
      </c>
      <c r="E138" s="12">
        <v>913</v>
      </c>
      <c r="F138" s="12"/>
      <c r="G138" s="12"/>
      <c r="H138" s="12"/>
      <c r="I138" s="12"/>
      <c r="J138" s="10">
        <f>19+19/60+6/3600</f>
        <v>19.318333333333332</v>
      </c>
      <c r="K138" s="10">
        <f>-(156+11/60+9/3600)</f>
        <v>-156.18583333333333</v>
      </c>
      <c r="N138" t="s">
        <v>244</v>
      </c>
    </row>
    <row r="139" spans="1:15" x14ac:dyDescent="0.25">
      <c r="A139" t="s">
        <v>354</v>
      </c>
      <c r="B139" t="s">
        <v>246</v>
      </c>
      <c r="C139" t="s">
        <v>28</v>
      </c>
      <c r="D139" s="3">
        <v>32018</v>
      </c>
      <c r="E139" s="12">
        <v>914</v>
      </c>
      <c r="F139" s="12"/>
      <c r="G139" s="12"/>
      <c r="H139" s="12"/>
      <c r="I139" s="12"/>
      <c r="J139" s="10">
        <v>30.1</v>
      </c>
      <c r="K139" s="10">
        <v>-83.751666666666665</v>
      </c>
    </row>
    <row r="140" spans="1:15" x14ac:dyDescent="0.25">
      <c r="A140" t="s">
        <v>355</v>
      </c>
      <c r="B140" t="s">
        <v>246</v>
      </c>
      <c r="C140" t="s">
        <v>29</v>
      </c>
      <c r="D140" s="3">
        <v>32018</v>
      </c>
      <c r="E140" s="12">
        <v>908</v>
      </c>
      <c r="F140" s="12"/>
      <c r="G140" s="12"/>
      <c r="H140" s="12"/>
      <c r="I140" s="12"/>
      <c r="J140" s="10">
        <v>30.116666666666667</v>
      </c>
      <c r="K140" s="10">
        <v>-83.75055555555555</v>
      </c>
    </row>
    <row r="141" spans="1:15" x14ac:dyDescent="0.25">
      <c r="A141" t="s">
        <v>356</v>
      </c>
      <c r="B141" t="s">
        <v>246</v>
      </c>
      <c r="C141" t="s">
        <v>33</v>
      </c>
      <c r="D141" s="3">
        <v>32426</v>
      </c>
      <c r="E141" s="12">
        <v>875</v>
      </c>
      <c r="F141" s="12"/>
      <c r="G141" s="12"/>
      <c r="H141" s="12"/>
      <c r="I141" s="12"/>
      <c r="J141" s="10">
        <v>27.15</v>
      </c>
      <c r="K141" s="10">
        <v>-77.969166666666666</v>
      </c>
    </row>
    <row r="142" spans="1:15" x14ac:dyDescent="0.25">
      <c r="A142" t="s">
        <v>357</v>
      </c>
      <c r="B142" t="s">
        <v>246</v>
      </c>
      <c r="C142" t="s">
        <v>34</v>
      </c>
      <c r="D142" s="3">
        <v>32427</v>
      </c>
      <c r="E142" s="12">
        <v>877</v>
      </c>
      <c r="F142" s="12"/>
      <c r="G142" s="12"/>
      <c r="H142" s="12"/>
      <c r="I142" s="12"/>
      <c r="J142" s="10">
        <v>23.083333333333332</v>
      </c>
      <c r="K142" s="10">
        <v>-78.651388888888889</v>
      </c>
      <c r="O142" t="s">
        <v>244</v>
      </c>
    </row>
    <row r="143" spans="1:15" x14ac:dyDescent="0.25">
      <c r="A143" t="s">
        <v>358</v>
      </c>
      <c r="B143" t="s">
        <v>246</v>
      </c>
      <c r="C143" t="s">
        <v>20</v>
      </c>
      <c r="D143" s="3">
        <v>32815</v>
      </c>
      <c r="E143" s="12">
        <v>890</v>
      </c>
      <c r="F143" s="12"/>
      <c r="G143" s="12"/>
      <c r="H143" s="12"/>
      <c r="I143" s="12"/>
      <c r="J143" s="10">
        <v>26.05</v>
      </c>
      <c r="K143" s="10">
        <v>-77.869166666666658</v>
      </c>
    </row>
    <row r="144" spans="1:15" x14ac:dyDescent="0.25">
      <c r="A144" t="s">
        <v>359</v>
      </c>
      <c r="B144" t="s">
        <v>246</v>
      </c>
      <c r="C144" t="s">
        <v>17</v>
      </c>
      <c r="D144" s="3">
        <v>43662</v>
      </c>
      <c r="E144" s="12">
        <v>1645.6899410000001</v>
      </c>
      <c r="F144" s="12">
        <v>2.5620000360000001</v>
      </c>
      <c r="G144" s="12">
        <v>1.2319999930000001</v>
      </c>
      <c r="H144" s="12">
        <v>34.563999180000003</v>
      </c>
      <c r="I144" s="12">
        <v>83.22000122</v>
      </c>
      <c r="J144" s="10">
        <v>36.600836999999999</v>
      </c>
      <c r="K144" s="10">
        <v>-122.151083</v>
      </c>
    </row>
    <row r="145" spans="1:15" x14ac:dyDescent="0.25">
      <c r="A145" t="s">
        <v>360</v>
      </c>
      <c r="B145" t="s">
        <v>246</v>
      </c>
      <c r="C145" t="s">
        <v>106</v>
      </c>
      <c r="D145" s="3">
        <v>44499</v>
      </c>
      <c r="E145" s="12">
        <v>1357.6800539999999</v>
      </c>
      <c r="F145" s="12">
        <v>2.989000082</v>
      </c>
      <c r="G145" s="12">
        <v>0.91299998800000004</v>
      </c>
      <c r="H145" s="12">
        <v>34.539001460000001</v>
      </c>
      <c r="I145" s="12">
        <v>89.319999690000003</v>
      </c>
      <c r="J145" s="10">
        <v>36.700406999999998</v>
      </c>
      <c r="K145" s="10">
        <v>-122.066879</v>
      </c>
    </row>
    <row r="146" spans="1:15" x14ac:dyDescent="0.25">
      <c r="A146" t="s">
        <v>361</v>
      </c>
      <c r="B146" t="s">
        <v>99</v>
      </c>
      <c r="C146" t="s">
        <v>70</v>
      </c>
      <c r="D146" s="3">
        <v>41783</v>
      </c>
      <c r="E146" s="12">
        <v>434.32275390000001</v>
      </c>
      <c r="F146" s="12">
        <v>6.9439997670000002</v>
      </c>
      <c r="G146" s="12">
        <v>0.60600000600000004</v>
      </c>
      <c r="H146" s="12">
        <v>34.206001280000002</v>
      </c>
      <c r="I146" s="12">
        <v>87.699996949999999</v>
      </c>
      <c r="J146" s="10">
        <v>36.699679000000003</v>
      </c>
      <c r="K146" s="10">
        <v>-122.09075</v>
      </c>
    </row>
    <row r="147" spans="1:15" x14ac:dyDescent="0.25">
      <c r="A147" t="s">
        <v>362</v>
      </c>
      <c r="B147" t="s">
        <v>99</v>
      </c>
      <c r="C147" t="s">
        <v>52</v>
      </c>
      <c r="D147" s="3">
        <v>44710</v>
      </c>
      <c r="E147" s="12">
        <v>590.8400269</v>
      </c>
      <c r="F147" s="12">
        <v>4.9369997980000004</v>
      </c>
      <c r="G147" s="12">
        <v>0.34999999399999998</v>
      </c>
      <c r="H147" s="12">
        <v>34.262001040000001</v>
      </c>
      <c r="I147" s="12">
        <v>90.790000919999997</v>
      </c>
      <c r="J147" s="10">
        <v>36.381281999999999</v>
      </c>
      <c r="K147" s="10">
        <v>-122.666213</v>
      </c>
    </row>
    <row r="148" spans="1:15" x14ac:dyDescent="0.25">
      <c r="A148" t="s">
        <v>248</v>
      </c>
      <c r="B148" t="s">
        <v>99</v>
      </c>
      <c r="C148" t="s">
        <v>149</v>
      </c>
      <c r="D148" s="3">
        <v>42532</v>
      </c>
      <c r="E148" s="12">
        <v>580.90863039999999</v>
      </c>
      <c r="F148" s="12">
        <v>5.3449997900000001</v>
      </c>
      <c r="G148" s="12">
        <v>0.23399999699999999</v>
      </c>
      <c r="H148" s="12">
        <v>34.291000369999999</v>
      </c>
      <c r="I148" s="12">
        <v>85.940002440000001</v>
      </c>
      <c r="J148" s="10">
        <v>36.333770999999999</v>
      </c>
      <c r="K148" s="10">
        <v>-122.307869</v>
      </c>
      <c r="M148" s="10"/>
    </row>
    <row r="149" spans="1:15" x14ac:dyDescent="0.25">
      <c r="A149" s="20" t="s">
        <v>391</v>
      </c>
      <c r="B149" t="s">
        <v>246</v>
      </c>
      <c r="C149" t="s">
        <v>139</v>
      </c>
      <c r="D149" s="3">
        <v>37819</v>
      </c>
      <c r="E149" s="12">
        <v>1694.7814940000001</v>
      </c>
      <c r="F149" s="12">
        <v>2.5179998870000002</v>
      </c>
      <c r="G149" s="12">
        <v>1.1699999569999999</v>
      </c>
      <c r="H149" s="12">
        <v>34.397998809999997</v>
      </c>
      <c r="I149" s="12">
        <v>81.959999080000003</v>
      </c>
      <c r="J149" s="10">
        <v>36.216566999999998</v>
      </c>
      <c r="K149" s="10">
        <v>-122.533855</v>
      </c>
    </row>
    <row r="150" spans="1:15" x14ac:dyDescent="0.25">
      <c r="A150" t="s">
        <v>363</v>
      </c>
      <c r="B150" t="s">
        <v>146</v>
      </c>
      <c r="C150" t="s">
        <v>116</v>
      </c>
      <c r="D150" s="3">
        <v>41470</v>
      </c>
      <c r="E150" s="12">
        <v>1467.9011230000001</v>
      </c>
      <c r="F150" s="12">
        <v>2.8519999980000001</v>
      </c>
      <c r="G150" s="12">
        <v>0.93400001499999996</v>
      </c>
      <c r="H150" s="12">
        <v>34.548999790000003</v>
      </c>
      <c r="I150" s="12">
        <v>83.980003359999998</v>
      </c>
      <c r="J150" s="10">
        <v>36.600079000000001</v>
      </c>
      <c r="K150" s="10">
        <v>-122.149293</v>
      </c>
      <c r="O150" s="6"/>
    </row>
    <row r="151" spans="1:15" x14ac:dyDescent="0.25">
      <c r="A151" t="s">
        <v>259</v>
      </c>
      <c r="B151" t="s">
        <v>146</v>
      </c>
      <c r="C151" t="s">
        <v>114</v>
      </c>
      <c r="D151" s="3">
        <v>41901</v>
      </c>
      <c r="E151" s="12">
        <v>3129.889404</v>
      </c>
      <c r="F151" s="12">
        <v>1.6000000240000001</v>
      </c>
      <c r="G151" s="12">
        <v>2.5260000229999999</v>
      </c>
      <c r="H151" s="12">
        <v>34.665000919999997</v>
      </c>
      <c r="I151" s="12">
        <v>88.839996339999999</v>
      </c>
      <c r="J151" s="10">
        <v>36.117215999999999</v>
      </c>
      <c r="K151" s="10">
        <v>-123.549621</v>
      </c>
      <c r="N151" t="s">
        <v>244</v>
      </c>
    </row>
    <row r="152" spans="1:15" x14ac:dyDescent="0.25">
      <c r="A152" t="s">
        <v>260</v>
      </c>
      <c r="B152" t="s">
        <v>146</v>
      </c>
      <c r="C152" t="s">
        <v>117</v>
      </c>
      <c r="D152" s="3">
        <v>41901</v>
      </c>
      <c r="E152" s="12">
        <v>3402.3371579999998</v>
      </c>
      <c r="F152" s="12">
        <v>1.555999994</v>
      </c>
      <c r="G152" s="12">
        <v>2.6380000109999999</v>
      </c>
      <c r="H152" s="12">
        <v>34.671001429999997</v>
      </c>
      <c r="I152" s="12">
        <v>88.839996339999999</v>
      </c>
      <c r="J152" s="10">
        <v>36.117016999999997</v>
      </c>
      <c r="K152" s="10">
        <v>-123.549448</v>
      </c>
    </row>
    <row r="153" spans="1:15" x14ac:dyDescent="0.25">
      <c r="A153" t="s">
        <v>364</v>
      </c>
      <c r="B153" t="s">
        <v>146</v>
      </c>
      <c r="C153" t="s">
        <v>148</v>
      </c>
      <c r="D153" s="3">
        <v>42076</v>
      </c>
      <c r="E153" s="12">
        <v>1583.939331</v>
      </c>
      <c r="F153" s="12">
        <v>2.8320000169999999</v>
      </c>
      <c r="G153" s="12">
        <v>1.0700000519999999</v>
      </c>
      <c r="H153" s="12">
        <v>34.604999540000001</v>
      </c>
      <c r="I153" s="12">
        <v>88.77999878</v>
      </c>
      <c r="J153" s="10">
        <v>22.917888999999999</v>
      </c>
      <c r="K153" s="10">
        <v>-108.11338600000001</v>
      </c>
      <c r="M153" t="s">
        <v>244</v>
      </c>
      <c r="O153" t="s">
        <v>244</v>
      </c>
    </row>
    <row r="154" spans="1:15" x14ac:dyDescent="0.25">
      <c r="A154" s="5" t="s">
        <v>392</v>
      </c>
      <c r="B154" t="s">
        <v>246</v>
      </c>
      <c r="C154" t="s">
        <v>140</v>
      </c>
      <c r="D154" s="3">
        <v>37823</v>
      </c>
      <c r="E154" s="12">
        <v>1352.8004149999999</v>
      </c>
      <c r="F154" s="12">
        <v>2.9119999409999999</v>
      </c>
      <c r="G154" s="12">
        <v>0.81999999300000004</v>
      </c>
      <c r="H154" s="12">
        <v>34.35400009</v>
      </c>
      <c r="I154" s="12">
        <v>80.959999080000003</v>
      </c>
      <c r="J154" s="10">
        <v>36.557828999999998</v>
      </c>
      <c r="K154" s="10">
        <v>-122.23389899999999</v>
      </c>
    </row>
    <row r="155" spans="1:15" x14ac:dyDescent="0.25">
      <c r="A155" t="s">
        <v>252</v>
      </c>
      <c r="B155" t="s">
        <v>146</v>
      </c>
      <c r="C155" t="s">
        <v>249</v>
      </c>
      <c r="D155" s="3">
        <v>38129</v>
      </c>
      <c r="E155" s="12">
        <v>3342</v>
      </c>
      <c r="F155" s="12"/>
      <c r="G155" s="12"/>
      <c r="H155" s="12"/>
      <c r="I155" s="12"/>
      <c r="J155" s="10">
        <v>35.919166666666662</v>
      </c>
      <c r="K155" s="10">
        <v>-122.93805555555556</v>
      </c>
      <c r="L155" s="10" t="s">
        <v>257</v>
      </c>
    </row>
    <row r="156" spans="1:15" x14ac:dyDescent="0.25">
      <c r="A156" s="5" t="s">
        <v>393</v>
      </c>
      <c r="B156" t="s">
        <v>246</v>
      </c>
      <c r="C156" t="s">
        <v>242</v>
      </c>
      <c r="D156" s="3">
        <v>38269</v>
      </c>
      <c r="E156" s="12">
        <v>2680</v>
      </c>
      <c r="F156" s="12">
        <v>1.716</v>
      </c>
      <c r="G156" s="12">
        <v>2.29</v>
      </c>
      <c r="H156" s="12">
        <v>34.53</v>
      </c>
      <c r="I156" s="12">
        <v>84.75</v>
      </c>
      <c r="J156" s="10">
        <v>36.259701999999997</v>
      </c>
      <c r="K156" s="10">
        <v>-122.59282399999999</v>
      </c>
    </row>
  </sheetData>
  <autoFilter ref="A1:O156" xr:uid="{C9122B41-E905-4D47-B425-1FD411898A09}">
    <sortState xmlns:xlrd2="http://schemas.microsoft.com/office/spreadsheetml/2017/richdata2" ref="A2:O156">
      <sortCondition ref="C1:C15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3001-BBA3-4A01-93CA-7DBA9A1849E8}">
  <dimension ref="A1:I39"/>
  <sheetViews>
    <sheetView zoomScale="119" zoomScaleNormal="85" workbookViewId="0">
      <selection activeCell="C7" sqref="C7:H8"/>
    </sheetView>
  </sheetViews>
  <sheetFormatPr defaultRowHeight="14.3" x14ac:dyDescent="0.25"/>
  <cols>
    <col min="1" max="1" width="17.75" bestFit="1" customWidth="1"/>
    <col min="2" max="2" width="20.125" bestFit="1" customWidth="1"/>
    <col min="3" max="3" width="10.625" style="3" bestFit="1" customWidth="1"/>
    <col min="4" max="4" width="10.625" style="18" bestFit="1" customWidth="1"/>
    <col min="5" max="5" width="12.25" style="7" bestFit="1" customWidth="1"/>
    <col min="6" max="6" width="7.875" bestFit="1" customWidth="1"/>
    <col min="7" max="8" width="12.625" bestFit="1" customWidth="1"/>
    <col min="9" max="9" width="12.875" bestFit="1" customWidth="1"/>
  </cols>
  <sheetData>
    <row r="1" spans="1:9" s="1" customFormat="1" ht="14.45" customHeight="1" x14ac:dyDescent="0.25">
      <c r="A1" s="2" t="s">
        <v>109</v>
      </c>
      <c r="B1" s="2" t="s">
        <v>110</v>
      </c>
      <c r="C1" s="9" t="s">
        <v>111</v>
      </c>
      <c r="D1" s="17" t="s">
        <v>247</v>
      </c>
      <c r="E1" s="16" t="s">
        <v>220</v>
      </c>
      <c r="F1" s="1" t="s">
        <v>12</v>
      </c>
      <c r="G1" s="1" t="s">
        <v>137</v>
      </c>
      <c r="H1" s="1" t="s">
        <v>138</v>
      </c>
      <c r="I1" s="1" t="s">
        <v>154</v>
      </c>
    </row>
    <row r="2" spans="1:9" ht="14.95" x14ac:dyDescent="0.25">
      <c r="A2" t="s">
        <v>47</v>
      </c>
      <c r="B2" t="s">
        <v>156</v>
      </c>
      <c r="C2" s="3">
        <v>11457</v>
      </c>
      <c r="D2">
        <v>1931</v>
      </c>
      <c r="E2" s="7" t="s">
        <v>157</v>
      </c>
      <c r="F2">
        <f>(370)/2</f>
        <v>185</v>
      </c>
      <c r="G2" s="11">
        <v>14.450833333333332</v>
      </c>
      <c r="H2" s="11">
        <v>-30.0341666666667</v>
      </c>
      <c r="I2" t="s">
        <v>155</v>
      </c>
    </row>
    <row r="3" spans="1:9" ht="14.95" x14ac:dyDescent="0.25">
      <c r="A3" t="s">
        <v>47</v>
      </c>
      <c r="B3" t="s">
        <v>158</v>
      </c>
      <c r="C3" s="3">
        <v>11457</v>
      </c>
      <c r="D3">
        <v>1931</v>
      </c>
      <c r="E3" s="7" t="s">
        <v>157</v>
      </c>
      <c r="F3">
        <f>(370)/2</f>
        <v>185</v>
      </c>
      <c r="G3" s="11">
        <v>14.450833333333332</v>
      </c>
      <c r="H3" s="11">
        <v>-30.0341666666667</v>
      </c>
      <c r="I3" t="s">
        <v>155</v>
      </c>
    </row>
    <row r="4" spans="1:9" ht="14.95" x14ac:dyDescent="0.25">
      <c r="A4" t="s">
        <v>47</v>
      </c>
      <c r="B4" t="s">
        <v>218</v>
      </c>
      <c r="C4" s="3">
        <v>11444</v>
      </c>
      <c r="D4">
        <v>1931</v>
      </c>
      <c r="E4" s="7" t="s">
        <v>159</v>
      </c>
      <c r="F4">
        <v>1250</v>
      </c>
      <c r="G4" s="11">
        <v>-21.216666666666701</v>
      </c>
      <c r="H4" s="11">
        <v>-29.9236111111111</v>
      </c>
      <c r="I4" t="s">
        <v>155</v>
      </c>
    </row>
    <row r="5" spans="1:9" ht="14.95" x14ac:dyDescent="0.25">
      <c r="A5" t="s">
        <v>47</v>
      </c>
      <c r="B5" t="s">
        <v>219</v>
      </c>
      <c r="C5" s="3">
        <v>9805</v>
      </c>
      <c r="D5">
        <v>1926</v>
      </c>
      <c r="E5" s="7" t="s">
        <v>160</v>
      </c>
      <c r="F5">
        <v>900</v>
      </c>
      <c r="G5" s="11">
        <v>-43.05</v>
      </c>
      <c r="H5" s="11">
        <v>17.05</v>
      </c>
      <c r="I5" t="s">
        <v>155</v>
      </c>
    </row>
    <row r="6" spans="1:9" ht="14.95" x14ac:dyDescent="0.25">
      <c r="A6" t="s">
        <v>47</v>
      </c>
      <c r="B6" t="s">
        <v>161</v>
      </c>
      <c r="C6" s="3">
        <v>29103</v>
      </c>
      <c r="D6">
        <v>1979</v>
      </c>
      <c r="G6" s="11">
        <v>32.233333333333334</v>
      </c>
      <c r="H6" s="11">
        <v>-117.366666666667</v>
      </c>
      <c r="I6" t="s">
        <v>155</v>
      </c>
    </row>
    <row r="7" spans="1:9" ht="14.95" x14ac:dyDescent="0.25">
      <c r="A7" t="s">
        <v>14</v>
      </c>
      <c r="B7" t="s">
        <v>162</v>
      </c>
      <c r="C7" s="3">
        <v>32023</v>
      </c>
      <c r="D7">
        <v>1987</v>
      </c>
      <c r="F7">
        <v>841</v>
      </c>
      <c r="G7" s="11">
        <v>24.001666666666665</v>
      </c>
      <c r="H7" s="11">
        <v>-82.284444444444404</v>
      </c>
      <c r="I7" t="s">
        <v>155</v>
      </c>
    </row>
    <row r="8" spans="1:9" ht="14.95" x14ac:dyDescent="0.25">
      <c r="A8" t="s">
        <v>14</v>
      </c>
      <c r="B8" t="s">
        <v>163</v>
      </c>
      <c r="C8" s="3">
        <v>32817</v>
      </c>
      <c r="D8">
        <v>1989</v>
      </c>
      <c r="F8">
        <v>890</v>
      </c>
      <c r="G8" s="11">
        <v>25.883888888888887</v>
      </c>
      <c r="H8" s="11">
        <v>-77.800833333333301</v>
      </c>
      <c r="I8" t="s">
        <v>155</v>
      </c>
    </row>
    <row r="9" spans="1:9" ht="14.95" x14ac:dyDescent="0.25">
      <c r="A9" t="s">
        <v>84</v>
      </c>
      <c r="B9" t="s">
        <v>164</v>
      </c>
      <c r="C9" s="3">
        <v>31891</v>
      </c>
      <c r="D9">
        <v>1987</v>
      </c>
      <c r="E9" s="7" t="s">
        <v>171</v>
      </c>
      <c r="F9">
        <v>350</v>
      </c>
      <c r="G9" s="11">
        <v>48.367777777777775</v>
      </c>
      <c r="H9" s="11">
        <v>-126.33388888888901</v>
      </c>
      <c r="I9" t="s">
        <v>173</v>
      </c>
    </row>
    <row r="10" spans="1:9" ht="14.95" x14ac:dyDescent="0.25">
      <c r="A10" t="s">
        <v>84</v>
      </c>
      <c r="B10" s="8" t="s">
        <v>165</v>
      </c>
      <c r="C10" s="3">
        <v>31857</v>
      </c>
      <c r="D10">
        <v>1987</v>
      </c>
      <c r="E10" s="7">
        <v>500</v>
      </c>
      <c r="F10">
        <v>500</v>
      </c>
      <c r="G10" s="11">
        <v>48.25</v>
      </c>
      <c r="H10" s="11">
        <v>-126.666666666667</v>
      </c>
      <c r="I10" t="s">
        <v>173</v>
      </c>
    </row>
    <row r="11" spans="1:9" ht="14.95" x14ac:dyDescent="0.25">
      <c r="A11" t="s">
        <v>84</v>
      </c>
      <c r="B11" s="8" t="s">
        <v>166</v>
      </c>
      <c r="C11" s="3">
        <v>31857</v>
      </c>
      <c r="D11">
        <v>1987</v>
      </c>
      <c r="E11" s="7" t="s">
        <v>171</v>
      </c>
      <c r="F11">
        <v>350</v>
      </c>
      <c r="G11" s="11">
        <v>47.93472222222222</v>
      </c>
      <c r="H11" s="11">
        <v>-126.43361111111101</v>
      </c>
      <c r="I11" t="s">
        <v>173</v>
      </c>
    </row>
    <row r="12" spans="1:9" ht="14.95" x14ac:dyDescent="0.25">
      <c r="A12" t="s">
        <v>84</v>
      </c>
      <c r="B12" s="8" t="s">
        <v>167</v>
      </c>
      <c r="C12" s="3">
        <v>31857</v>
      </c>
      <c r="D12">
        <v>1987</v>
      </c>
      <c r="E12" s="7">
        <v>700</v>
      </c>
      <c r="F12">
        <v>700</v>
      </c>
      <c r="G12" s="11">
        <v>47.93472222222222</v>
      </c>
      <c r="H12" s="11">
        <v>-126.43361111111101</v>
      </c>
      <c r="I12" t="s">
        <v>173</v>
      </c>
    </row>
    <row r="13" spans="1:9" ht="14.95" x14ac:dyDescent="0.25">
      <c r="A13" t="s">
        <v>84</v>
      </c>
      <c r="B13" s="8" t="s">
        <v>168</v>
      </c>
      <c r="C13" s="3">
        <v>31857</v>
      </c>
      <c r="D13">
        <v>1987</v>
      </c>
      <c r="E13" s="7">
        <v>500</v>
      </c>
      <c r="F13">
        <v>500</v>
      </c>
      <c r="G13" s="11">
        <v>48.25</v>
      </c>
      <c r="H13" s="11">
        <v>-126.666666666667</v>
      </c>
      <c r="I13" t="s">
        <v>173</v>
      </c>
    </row>
    <row r="14" spans="1:9" ht="14.95" x14ac:dyDescent="0.25">
      <c r="A14" t="s">
        <v>84</v>
      </c>
      <c r="B14" s="8" t="s">
        <v>169</v>
      </c>
      <c r="C14" s="3">
        <v>31857</v>
      </c>
      <c r="D14">
        <v>1987</v>
      </c>
      <c r="E14" s="7" t="s">
        <v>172</v>
      </c>
      <c r="F14">
        <v>250</v>
      </c>
      <c r="G14" s="11">
        <v>48.31666666666667</v>
      </c>
      <c r="H14" s="11">
        <v>-126.435277777778</v>
      </c>
      <c r="I14" t="s">
        <v>173</v>
      </c>
    </row>
    <row r="15" spans="1:9" ht="14.95" x14ac:dyDescent="0.25">
      <c r="A15" t="s">
        <v>84</v>
      </c>
      <c r="B15" s="8" t="s">
        <v>170</v>
      </c>
      <c r="C15" s="3">
        <v>30009</v>
      </c>
      <c r="D15">
        <v>1982</v>
      </c>
      <c r="E15" s="7">
        <v>1200</v>
      </c>
      <c r="F15">
        <v>1200</v>
      </c>
      <c r="G15" s="11">
        <v>48.716666666666669</v>
      </c>
      <c r="H15" s="11">
        <v>-126.65</v>
      </c>
      <c r="I15" t="s">
        <v>173</v>
      </c>
    </row>
    <row r="16" spans="1:9" ht="14.95" x14ac:dyDescent="0.25">
      <c r="A16" t="s">
        <v>84</v>
      </c>
      <c r="B16" s="8" t="s">
        <v>174</v>
      </c>
      <c r="C16" s="3">
        <v>29106</v>
      </c>
      <c r="D16">
        <v>1979</v>
      </c>
      <c r="G16" s="11">
        <f>33+4/60</f>
        <v>33.06666666666667</v>
      </c>
      <c r="H16" s="11">
        <f>-118+16/60</f>
        <v>-117.73333333333333</v>
      </c>
      <c r="I16" t="s">
        <v>155</v>
      </c>
    </row>
    <row r="17" spans="1:9" ht="14.95" x14ac:dyDescent="0.25">
      <c r="A17" t="s">
        <v>84</v>
      </c>
      <c r="B17" t="s">
        <v>176</v>
      </c>
      <c r="C17" s="3">
        <v>13290</v>
      </c>
      <c r="D17">
        <v>1936</v>
      </c>
      <c r="E17" s="7" t="s">
        <v>175</v>
      </c>
      <c r="F17">
        <f>(1000+750)/2</f>
        <v>875</v>
      </c>
      <c r="G17" s="11">
        <v>-33.717500000000001</v>
      </c>
      <c r="H17" s="11">
        <v>8.6347222222222211</v>
      </c>
      <c r="I17" t="s">
        <v>155</v>
      </c>
    </row>
    <row r="18" spans="1:9" ht="14.95" x14ac:dyDescent="0.25">
      <c r="A18" t="s">
        <v>84</v>
      </c>
      <c r="B18" s="8" t="s">
        <v>177</v>
      </c>
      <c r="C18" s="3">
        <v>27211</v>
      </c>
      <c r="D18">
        <v>1974</v>
      </c>
      <c r="E18" s="7">
        <v>750</v>
      </c>
      <c r="F18">
        <v>750</v>
      </c>
      <c r="G18" s="11">
        <v>3.0502777777777776</v>
      </c>
      <c r="H18" s="11">
        <v>-23.234166666666699</v>
      </c>
      <c r="I18" t="s">
        <v>155</v>
      </c>
    </row>
    <row r="19" spans="1:9" ht="14.95" x14ac:dyDescent="0.25">
      <c r="A19" t="s">
        <v>84</v>
      </c>
      <c r="B19" s="8" t="s">
        <v>178</v>
      </c>
      <c r="C19" s="3">
        <v>24889</v>
      </c>
      <c r="D19">
        <v>1968</v>
      </c>
      <c r="E19" s="7">
        <f>(1060+1300)/2</f>
        <v>1180</v>
      </c>
      <c r="F19">
        <f>(1060+1300)/2</f>
        <v>1180</v>
      </c>
      <c r="G19" s="11">
        <v>10.569166666666666</v>
      </c>
      <c r="H19" s="11">
        <v>-19.718611111111102</v>
      </c>
      <c r="I19" t="s">
        <v>155</v>
      </c>
    </row>
    <row r="20" spans="1:9" ht="14.95" x14ac:dyDescent="0.25">
      <c r="A20" t="s">
        <v>84</v>
      </c>
      <c r="B20" s="8" t="s">
        <v>179</v>
      </c>
      <c r="C20" s="3">
        <v>24888</v>
      </c>
      <c r="D20">
        <v>1968</v>
      </c>
      <c r="E20" s="7" t="s">
        <v>197</v>
      </c>
      <c r="F20">
        <f>(1210+1450)/2</f>
        <v>1330</v>
      </c>
      <c r="G20" s="11">
        <v>10.750833333333333</v>
      </c>
      <c r="H20" s="11">
        <v>-19.851944444444399</v>
      </c>
      <c r="I20" t="s">
        <v>155</v>
      </c>
    </row>
    <row r="21" spans="1:9" ht="14.95" x14ac:dyDescent="0.25">
      <c r="A21" t="s">
        <v>84</v>
      </c>
      <c r="B21" s="8" t="s">
        <v>180</v>
      </c>
      <c r="C21" s="3">
        <v>24887</v>
      </c>
      <c r="D21">
        <v>1968</v>
      </c>
      <c r="E21" s="7" t="s">
        <v>198</v>
      </c>
      <c r="F21">
        <f>(730+795)/2</f>
        <v>762.5</v>
      </c>
      <c r="G21" s="11">
        <v>10.784444444444444</v>
      </c>
      <c r="H21" s="11">
        <v>-19.8686111111111</v>
      </c>
      <c r="I21" t="s">
        <v>155</v>
      </c>
    </row>
    <row r="22" spans="1:9" ht="14.95" x14ac:dyDescent="0.25">
      <c r="A22" t="s">
        <v>84</v>
      </c>
      <c r="B22" t="s">
        <v>181</v>
      </c>
      <c r="C22" s="3">
        <v>24884</v>
      </c>
      <c r="D22">
        <v>1968</v>
      </c>
      <c r="E22" s="7" t="s">
        <v>199</v>
      </c>
      <c r="F22">
        <v>647.5</v>
      </c>
      <c r="G22" s="11">
        <v>10.95</v>
      </c>
      <c r="H22" s="11">
        <v>-19.934999999999999</v>
      </c>
      <c r="I22" t="s">
        <v>155</v>
      </c>
    </row>
    <row r="23" spans="1:9" ht="14.95" x14ac:dyDescent="0.25">
      <c r="A23" t="s">
        <v>84</v>
      </c>
      <c r="B23" s="8" t="s">
        <v>182</v>
      </c>
      <c r="C23" s="3">
        <v>24885</v>
      </c>
      <c r="D23">
        <v>1968</v>
      </c>
      <c r="E23" s="7" t="s">
        <v>200</v>
      </c>
      <c r="F23">
        <v>855</v>
      </c>
      <c r="G23" s="11">
        <v>10.951388888888888</v>
      </c>
      <c r="H23" s="11">
        <v>-19.816666666666698</v>
      </c>
      <c r="I23" t="s">
        <v>155</v>
      </c>
    </row>
    <row r="24" spans="1:9" ht="14.95" x14ac:dyDescent="0.25">
      <c r="A24" t="s">
        <v>84</v>
      </c>
      <c r="B24" s="8" t="s">
        <v>183</v>
      </c>
      <c r="C24" s="3">
        <v>24885</v>
      </c>
      <c r="D24">
        <v>1968</v>
      </c>
      <c r="E24" s="7" t="s">
        <v>201</v>
      </c>
      <c r="F24">
        <v>645</v>
      </c>
      <c r="G24" s="11">
        <v>10.951666666666666</v>
      </c>
      <c r="H24" s="11">
        <v>-19.9508333333333</v>
      </c>
      <c r="I24" t="s">
        <v>155</v>
      </c>
    </row>
    <row r="25" spans="1:9" ht="14.95" x14ac:dyDescent="0.25">
      <c r="A25" t="s">
        <v>84</v>
      </c>
      <c r="B25" s="8" t="s">
        <v>184</v>
      </c>
      <c r="C25" s="3">
        <v>24884</v>
      </c>
      <c r="D25">
        <v>1968</v>
      </c>
      <c r="E25" s="7" t="s">
        <v>202</v>
      </c>
      <c r="F25">
        <v>850</v>
      </c>
      <c r="G25" s="11">
        <v>10.984444444444444</v>
      </c>
      <c r="H25" s="11">
        <v>-19.8669444444444</v>
      </c>
      <c r="I25" t="s">
        <v>155</v>
      </c>
    </row>
    <row r="26" spans="1:9" ht="14.95" x14ac:dyDescent="0.25">
      <c r="A26" t="s">
        <v>84</v>
      </c>
      <c r="B26" s="8" t="s">
        <v>185</v>
      </c>
      <c r="C26" s="3">
        <v>26368</v>
      </c>
      <c r="D26">
        <v>1972</v>
      </c>
      <c r="E26" s="7" t="s">
        <v>203</v>
      </c>
      <c r="F26">
        <v>947.5</v>
      </c>
      <c r="G26" s="11">
        <v>11.016944444444444</v>
      </c>
      <c r="H26" s="11">
        <v>-19.918888888888901</v>
      </c>
      <c r="I26" t="s">
        <v>155</v>
      </c>
    </row>
    <row r="27" spans="1:9" x14ac:dyDescent="0.25">
      <c r="A27" t="s">
        <v>84</v>
      </c>
      <c r="B27" s="8" t="s">
        <v>186</v>
      </c>
      <c r="C27" s="3">
        <v>24883</v>
      </c>
      <c r="D27">
        <v>1968</v>
      </c>
      <c r="E27" s="7" t="s">
        <v>204</v>
      </c>
      <c r="F27">
        <v>947.5</v>
      </c>
      <c r="G27" s="11">
        <v>11.050277777777778</v>
      </c>
      <c r="H27" s="11">
        <v>-19.983888888888899</v>
      </c>
      <c r="I27" t="s">
        <v>155</v>
      </c>
    </row>
    <row r="28" spans="1:9" x14ac:dyDescent="0.25">
      <c r="A28" t="s">
        <v>84</v>
      </c>
      <c r="B28" s="8" t="s">
        <v>187</v>
      </c>
      <c r="C28" s="3">
        <v>24882</v>
      </c>
      <c r="D28">
        <v>1968</v>
      </c>
      <c r="E28" s="7" t="s">
        <v>205</v>
      </c>
      <c r="F28">
        <v>757.5</v>
      </c>
      <c r="G28" s="11">
        <v>11.068333333333333</v>
      </c>
      <c r="H28" s="11">
        <v>-19.800555555555601</v>
      </c>
      <c r="I28" t="s">
        <v>155</v>
      </c>
    </row>
    <row r="29" spans="1:9" x14ac:dyDescent="0.25">
      <c r="A29" t="s">
        <v>84</v>
      </c>
      <c r="B29" s="8" t="s">
        <v>188</v>
      </c>
      <c r="C29" s="3">
        <v>24883</v>
      </c>
      <c r="D29">
        <v>1968</v>
      </c>
      <c r="E29" s="7" t="s">
        <v>204</v>
      </c>
      <c r="F29">
        <v>947.5</v>
      </c>
      <c r="G29" s="11">
        <v>11.133888888888889</v>
      </c>
      <c r="H29" s="11">
        <v>-19.7855555555556</v>
      </c>
      <c r="I29" t="s">
        <v>155</v>
      </c>
    </row>
    <row r="30" spans="1:9" x14ac:dyDescent="0.25">
      <c r="A30" t="s">
        <v>84</v>
      </c>
      <c r="B30" s="8" t="s">
        <v>189</v>
      </c>
      <c r="C30" s="3">
        <v>26374</v>
      </c>
      <c r="D30">
        <v>1972</v>
      </c>
      <c r="E30" s="7" t="s">
        <v>206</v>
      </c>
      <c r="F30">
        <v>505</v>
      </c>
      <c r="G30" s="11">
        <v>13.301111111111112</v>
      </c>
      <c r="H30" s="11">
        <v>-25.550555555555601</v>
      </c>
      <c r="I30" t="s">
        <v>155</v>
      </c>
    </row>
    <row r="31" spans="1:9" x14ac:dyDescent="0.25">
      <c r="A31" t="s">
        <v>84</v>
      </c>
      <c r="B31" s="8" t="s">
        <v>190</v>
      </c>
      <c r="C31" s="3">
        <v>26348</v>
      </c>
      <c r="D31">
        <v>1972</v>
      </c>
      <c r="E31" s="7" t="s">
        <v>207</v>
      </c>
      <c r="F31">
        <v>1132.5</v>
      </c>
      <c r="G31" s="11">
        <v>18.101111111111113</v>
      </c>
      <c r="H31" s="11">
        <v>-25.133611111111101</v>
      </c>
      <c r="I31" t="s">
        <v>155</v>
      </c>
    </row>
    <row r="32" spans="1:9" x14ac:dyDescent="0.25">
      <c r="A32" t="s">
        <v>84</v>
      </c>
      <c r="B32" s="8" t="s">
        <v>191</v>
      </c>
      <c r="C32" s="3">
        <v>31226</v>
      </c>
      <c r="D32">
        <v>1985</v>
      </c>
      <c r="E32" s="7" t="s">
        <v>208</v>
      </c>
      <c r="F32">
        <v>1050</v>
      </c>
      <c r="G32" s="11">
        <v>31.216944444444444</v>
      </c>
      <c r="H32" s="11">
        <v>-25.300833333333301</v>
      </c>
      <c r="I32" t="s">
        <v>155</v>
      </c>
    </row>
    <row r="33" spans="1:9" x14ac:dyDescent="0.25">
      <c r="A33" t="s">
        <v>84</v>
      </c>
      <c r="B33" s="8" t="s">
        <v>192</v>
      </c>
      <c r="C33" s="3">
        <v>26740</v>
      </c>
      <c r="D33">
        <v>1973</v>
      </c>
      <c r="E33" s="7" t="s">
        <v>209</v>
      </c>
      <c r="F33">
        <v>1379.5</v>
      </c>
      <c r="G33" s="11">
        <v>31.701388888888889</v>
      </c>
      <c r="H33" s="11">
        <v>-63.718333333333298</v>
      </c>
      <c r="I33" t="s">
        <v>155</v>
      </c>
    </row>
    <row r="34" spans="1:9" x14ac:dyDescent="0.25">
      <c r="A34" t="s">
        <v>84</v>
      </c>
      <c r="B34" s="8" t="s">
        <v>193</v>
      </c>
      <c r="C34" s="3">
        <v>32320</v>
      </c>
      <c r="D34">
        <v>1988</v>
      </c>
      <c r="E34" s="7" t="s">
        <v>210</v>
      </c>
      <c r="F34">
        <v>1250</v>
      </c>
      <c r="G34" s="11">
        <v>47.233888888888892</v>
      </c>
      <c r="H34" s="11">
        <v>-19.517222222222198</v>
      </c>
      <c r="I34" t="s">
        <v>155</v>
      </c>
    </row>
    <row r="35" spans="1:9" x14ac:dyDescent="0.25">
      <c r="A35" t="s">
        <v>84</v>
      </c>
      <c r="B35" s="8" t="s">
        <v>194</v>
      </c>
      <c r="C35" s="3">
        <v>32326</v>
      </c>
      <c r="D35">
        <v>1988</v>
      </c>
      <c r="E35" s="7" t="s">
        <v>211</v>
      </c>
      <c r="F35">
        <v>1347.5</v>
      </c>
      <c r="G35" s="11">
        <v>47.285833333333329</v>
      </c>
      <c r="H35" s="11">
        <v>-19.351111111111098</v>
      </c>
      <c r="I35" t="s">
        <v>155</v>
      </c>
    </row>
    <row r="36" spans="1:9" x14ac:dyDescent="0.25">
      <c r="A36" t="s">
        <v>84</v>
      </c>
      <c r="B36" s="8" t="s">
        <v>195</v>
      </c>
      <c r="C36" s="3">
        <v>32320</v>
      </c>
      <c r="D36">
        <v>1988</v>
      </c>
      <c r="E36" s="7" t="s">
        <v>212</v>
      </c>
      <c r="F36">
        <v>2625</v>
      </c>
      <c r="G36" s="11">
        <v>47.450277777777778</v>
      </c>
      <c r="H36" s="11">
        <v>-19.3</v>
      </c>
      <c r="I36" t="s">
        <v>155</v>
      </c>
    </row>
    <row r="37" spans="1:9" x14ac:dyDescent="0.25">
      <c r="A37" t="s">
        <v>84</v>
      </c>
      <c r="B37" s="8" t="s">
        <v>196</v>
      </c>
      <c r="C37" s="3">
        <v>33027</v>
      </c>
      <c r="D37">
        <v>1990</v>
      </c>
      <c r="E37" s="7" t="s">
        <v>213</v>
      </c>
      <c r="F37">
        <v>1150</v>
      </c>
      <c r="G37" s="11">
        <v>47.952222222222225</v>
      </c>
      <c r="H37" s="11">
        <v>-16.8183333333333</v>
      </c>
      <c r="I37" t="s">
        <v>155</v>
      </c>
    </row>
    <row r="38" spans="1:9" x14ac:dyDescent="0.25">
      <c r="A38" t="s">
        <v>84</v>
      </c>
      <c r="B38" s="8" t="s">
        <v>215</v>
      </c>
      <c r="C38" s="3">
        <v>12343</v>
      </c>
      <c r="D38">
        <v>1933</v>
      </c>
      <c r="E38" s="7" t="s">
        <v>214</v>
      </c>
      <c r="F38">
        <v>511</v>
      </c>
      <c r="G38" s="11">
        <v>13.085000000000001</v>
      </c>
      <c r="H38" s="11">
        <v>46.401944444444446</v>
      </c>
      <c r="I38" t="s">
        <v>155</v>
      </c>
    </row>
    <row r="39" spans="1:9" x14ac:dyDescent="0.25">
      <c r="A39" t="s">
        <v>84</v>
      </c>
      <c r="B39" s="8" t="s">
        <v>216</v>
      </c>
      <c r="C39" s="3">
        <v>13636</v>
      </c>
      <c r="D39">
        <v>1937</v>
      </c>
      <c r="E39" s="7" t="s">
        <v>217</v>
      </c>
      <c r="F39">
        <v>1700</v>
      </c>
      <c r="G39" s="11">
        <v>-16.600000000000001</v>
      </c>
      <c r="H39" s="11">
        <v>-6.4169444444444403</v>
      </c>
      <c r="I39" t="s">
        <v>155</v>
      </c>
    </row>
  </sheetData>
  <autoFilter ref="A1:I1" xr:uid="{4E863001-BBA3-4A01-93CA-7DBA9A1849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examined</vt:lpstr>
      <vt:lpstr>published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Mańko</dc:creator>
  <cp:lastModifiedBy>Maciej Mańko</cp:lastModifiedBy>
  <dcterms:created xsi:type="dcterms:W3CDTF">2023-11-18T12:35:12Z</dcterms:created>
  <dcterms:modified xsi:type="dcterms:W3CDTF">2025-11-07T04:07:23Z</dcterms:modified>
</cp:coreProperties>
</file>